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olgierdmoryc/Desktop/Olgierd/ Program próbki/"/>
    </mc:Choice>
  </mc:AlternateContent>
  <xr:revisionPtr revIDLastSave="0" documentId="13_ncr:1_{667FF10E-3442-B042-BB44-89C6C26C7794}" xr6:coauthVersionLast="47" xr6:coauthVersionMax="47" xr10:uidLastSave="{00000000-0000-0000-0000-000000000000}"/>
  <bookViews>
    <workbookView xWindow="11660" yWindow="600" windowWidth="38620" windowHeight="21100" activeTab="1" xr2:uid="{00000000-000D-0000-FFFF-FFFF00000000}"/>
  </bookViews>
  <sheets>
    <sheet name="DANE" sheetId="7" state="hidden" r:id="rId1"/>
    <sheet name="str1" sheetId="4" r:id="rId2"/>
    <sheet name="str2" sheetId="6" r:id="rId3"/>
  </sheets>
  <definedNames>
    <definedName name="_xlnm.Print_Area" localSheetId="1">'str1'!$A$1:$AT$75</definedName>
    <definedName name="_xlnm.Print_Area" localSheetId="2">'str2'!$A$1:$AT$75</definedName>
    <definedName name="R___1205___09" localSheetId="1">'str1'!#REF!</definedName>
    <definedName name="R___1205___09" localSheetId="2">'str2'!#REF!</definedName>
    <definedName name="R___1205___0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6" l="1"/>
  <c r="D47" i="6"/>
  <c r="F47" i="6" s="1"/>
  <c r="N47" i="6"/>
  <c r="P47" i="6"/>
  <c r="R47" i="6"/>
  <c r="T47" i="6"/>
  <c r="V47" i="6"/>
  <c r="X47" i="6"/>
  <c r="AA47" i="6"/>
  <c r="AD47" i="6"/>
  <c r="AG47" i="6"/>
  <c r="B45" i="6"/>
  <c r="T45" i="6" s="1"/>
  <c r="B43" i="6"/>
  <c r="B41" i="6"/>
  <c r="T41" i="6" s="1"/>
  <c r="B39" i="6"/>
  <c r="B37" i="6"/>
  <c r="AM37" i="6" s="1"/>
  <c r="AG43" i="6"/>
  <c r="S17" i="4"/>
  <c r="AR4" i="6"/>
  <c r="AR12" i="4"/>
  <c r="AM39" i="6"/>
  <c r="AM41" i="6"/>
  <c r="AM43" i="6"/>
  <c r="AJ39" i="6"/>
  <c r="AG39" i="6"/>
  <c r="AD39" i="6"/>
  <c r="AD43" i="6"/>
  <c r="AA39" i="6"/>
  <c r="AA41" i="6"/>
  <c r="X39" i="6"/>
  <c r="X41" i="6"/>
  <c r="V39" i="6"/>
  <c r="V41" i="6"/>
  <c r="V43" i="6"/>
  <c r="T39" i="6"/>
  <c r="R39" i="6"/>
  <c r="P39" i="6"/>
  <c r="P43" i="6"/>
  <c r="N39" i="6"/>
  <c r="N41" i="6"/>
  <c r="L39" i="6"/>
  <c r="L41" i="6"/>
  <c r="B35" i="6"/>
  <c r="D39" i="6"/>
  <c r="F39" i="6" s="1"/>
  <c r="I12" i="4"/>
  <c r="AD28" i="4" s="1"/>
  <c r="S21" i="4"/>
  <c r="Z4" i="6"/>
  <c r="G4" i="6" l="1"/>
  <c r="L28" i="4"/>
  <c r="L47" i="6"/>
  <c r="AM47" i="6"/>
  <c r="AJ47" i="6"/>
  <c r="AJ41" i="6"/>
  <c r="AD41" i="6"/>
  <c r="AG41" i="6"/>
  <c r="P41" i="6"/>
  <c r="R41" i="6"/>
  <c r="D41" i="6"/>
  <c r="F41" i="6" s="1"/>
  <c r="L37" i="6"/>
  <c r="N37" i="6"/>
  <c r="P37" i="6"/>
  <c r="R37" i="6"/>
  <c r="V37" i="6"/>
  <c r="T37" i="6"/>
  <c r="X37" i="6"/>
  <c r="AA37" i="6"/>
  <c r="AD37" i="6"/>
  <c r="AG37" i="6"/>
  <c r="AJ37" i="6"/>
  <c r="D37" i="6"/>
  <c r="F37" i="6" s="1"/>
  <c r="P45" i="6"/>
  <c r="V45" i="6"/>
  <c r="AD45" i="6"/>
  <c r="AM45" i="6"/>
  <c r="D45" i="6"/>
  <c r="F45" i="6" s="1"/>
  <c r="D43" i="6"/>
  <c r="F43" i="6" s="1"/>
  <c r="AJ45" i="6"/>
  <c r="N43" i="6"/>
  <c r="T43" i="6"/>
  <c r="AA43" i="6"/>
  <c r="AJ43" i="6"/>
  <c r="L43" i="6"/>
  <c r="R43" i="6"/>
  <c r="X43" i="6"/>
  <c r="N45" i="6"/>
  <c r="AA45" i="6"/>
  <c r="L45" i="6"/>
  <c r="R45" i="6"/>
  <c r="X45" i="6"/>
  <c r="AG45" i="6"/>
</calcChain>
</file>

<file path=xl/sharedStrings.xml><?xml version="1.0" encoding="utf-8"?>
<sst xmlns="http://schemas.openxmlformats.org/spreadsheetml/2006/main" count="154" uniqueCount="135">
  <si>
    <t>Alstom Polska S.A.
ul. Emilii Plater 53, 00-113 Warszawa
ALSTOM Polska S.A. oddział we Wrocławiu
ul. Fabryczna 12  53-609  Wrocław
Centralne Laboratorium, Badania nieniszczące</t>
  </si>
  <si>
    <r>
      <t xml:space="preserve">PROTOKÓŁ Z BADAŃ ULTRADŹWIĘKOWYCH NR : 
</t>
    </r>
    <r>
      <rPr>
        <b/>
        <i/>
        <sz val="14"/>
        <rFont val="Alstom"/>
        <charset val="238"/>
      </rPr>
      <t>ULTRASONIC TEST PROTOCOL No. :</t>
    </r>
  </si>
  <si>
    <r>
      <t xml:space="preserve">DATA WYDANIA:
</t>
    </r>
    <r>
      <rPr>
        <i/>
        <sz val="10"/>
        <rFont val="Alstom"/>
        <charset val="238"/>
      </rPr>
      <t>DATE OF ISSUE</t>
    </r>
    <r>
      <rPr>
        <b/>
        <sz val="10"/>
        <rFont val="Alstom"/>
        <charset val="238"/>
      </rPr>
      <t>:</t>
    </r>
  </si>
  <si>
    <t>Strona:</t>
  </si>
  <si>
    <t>Page:</t>
  </si>
  <si>
    <r>
      <t xml:space="preserve">PRZEDMIOT BADAŃ
</t>
    </r>
    <r>
      <rPr>
        <i/>
        <sz val="9"/>
        <rFont val="Alstom"/>
        <charset val="238"/>
      </rPr>
      <t>TEST OBJECT</t>
    </r>
  </si>
  <si>
    <r>
      <t xml:space="preserve">NAZWA
</t>
    </r>
    <r>
      <rPr>
        <i/>
        <sz val="10"/>
        <rFont val="Alstom"/>
        <charset val="238"/>
      </rPr>
      <t>NAME</t>
    </r>
  </si>
  <si>
    <r>
      <t xml:space="preserve">PRÓBKA SPAWALNICZA  
</t>
    </r>
    <r>
      <rPr>
        <i/>
        <sz val="10"/>
        <rFont val="Alstom"/>
        <charset val="238"/>
      </rPr>
      <t>WELDING SAMPLE</t>
    </r>
  </si>
  <si>
    <r>
      <t xml:space="preserve">MATERIAŁ PODSTAWOWY
</t>
    </r>
    <r>
      <rPr>
        <i/>
        <sz val="10"/>
        <rFont val="Alstom"/>
        <charset val="238"/>
      </rPr>
      <t>MATERIAL</t>
    </r>
  </si>
  <si>
    <t xml:space="preserve">patrz WPS 
our WPS	 </t>
  </si>
  <si>
    <r>
      <t xml:space="preserve">NUMER
</t>
    </r>
    <r>
      <rPr>
        <i/>
        <sz val="9"/>
        <rFont val="Alstom"/>
        <charset val="238"/>
      </rPr>
      <t>NUMBER</t>
    </r>
  </si>
  <si>
    <r>
      <rPr>
        <b/>
        <sz val="10"/>
        <rFont val="Alstom"/>
        <charset val="238"/>
      </rPr>
      <t>MATERIAŁ DODATKOWY</t>
    </r>
    <r>
      <rPr>
        <i/>
        <sz val="10"/>
        <rFont val="Alstom"/>
        <charset val="238"/>
      </rPr>
      <t xml:space="preserve">
WELDING FILLER </t>
    </r>
  </si>
  <si>
    <r>
      <t xml:space="preserve">patrz WPS 
</t>
    </r>
    <r>
      <rPr>
        <i/>
        <sz val="10"/>
        <rFont val="Alstom"/>
        <charset val="238"/>
      </rPr>
      <t>our WPS</t>
    </r>
  </si>
  <si>
    <r>
      <t xml:space="preserve">OBRÓBKA CIEPLNA
</t>
    </r>
    <r>
      <rPr>
        <i/>
        <sz val="10"/>
        <rFont val="Alstom"/>
        <charset val="238"/>
      </rPr>
      <t>HEAT TREATMENT</t>
    </r>
  </si>
  <si>
    <r>
      <t xml:space="preserve">patrz WPS 
</t>
    </r>
    <r>
      <rPr>
        <i/>
        <sz val="10"/>
        <rFont val="Alstom"/>
        <charset val="238"/>
      </rPr>
      <t xml:space="preserve">our WPS	</t>
    </r>
    <r>
      <rPr>
        <b/>
        <sz val="10"/>
        <rFont val="Alstom"/>
        <charset val="238"/>
      </rPr>
      <t xml:space="preserve"> </t>
    </r>
  </si>
  <si>
    <r>
      <t xml:space="preserve">METODA SPAWANIA
</t>
    </r>
    <r>
      <rPr>
        <i/>
        <sz val="10"/>
        <rFont val="Alstom"/>
        <charset val="238"/>
      </rPr>
      <t xml:space="preserve">WELDING PROCESS </t>
    </r>
  </si>
  <si>
    <t>135(MAG)</t>
  </si>
  <si>
    <r>
      <t xml:space="preserve">SPAWACZ
</t>
    </r>
    <r>
      <rPr>
        <i/>
        <sz val="10"/>
        <rFont val="Alstom"/>
        <charset val="238"/>
      </rPr>
      <t>WELDER</t>
    </r>
  </si>
  <si>
    <r>
      <t xml:space="preserve">ZLECENIODAWCA 
</t>
    </r>
    <r>
      <rPr>
        <i/>
        <sz val="9"/>
        <rFont val="Alstom"/>
        <charset val="238"/>
      </rPr>
      <t>CUSTOMER</t>
    </r>
    <r>
      <rPr>
        <b/>
        <sz val="10"/>
        <rFont val="Alstom"/>
        <charset val="238"/>
      </rPr>
      <t xml:space="preserve"> </t>
    </r>
  </si>
  <si>
    <t>ALSTOM Polska S.A. oddział we Wrocławiu, ul. Fabryczna 12  53-609  Wrocław</t>
  </si>
  <si>
    <r>
      <rPr>
        <b/>
        <sz val="10"/>
        <rFont val="Alstom"/>
        <charset val="238"/>
      </rPr>
      <t>MIEJSCE BADANIA</t>
    </r>
    <r>
      <rPr>
        <sz val="10"/>
        <rFont val="Alstom"/>
        <charset val="238"/>
      </rPr>
      <t xml:space="preserve">
</t>
    </r>
    <r>
      <rPr>
        <i/>
        <sz val="9"/>
        <rFont val="Alstom"/>
        <charset val="238"/>
      </rPr>
      <t>PLACE OF TESTS</t>
    </r>
  </si>
  <si>
    <r>
      <rPr>
        <b/>
        <sz val="10"/>
        <rFont val="Alstom"/>
        <charset val="238"/>
      </rPr>
      <t xml:space="preserve">PRZYJĘTO DNIA
</t>
    </r>
    <r>
      <rPr>
        <i/>
        <sz val="9"/>
        <rFont val="Alstom"/>
        <charset val="238"/>
      </rPr>
      <t>DATE OF RECEIPT</t>
    </r>
  </si>
  <si>
    <r>
      <t xml:space="preserve">DATA BADANIA
</t>
    </r>
    <r>
      <rPr>
        <i/>
        <sz val="9"/>
        <rFont val="Alstom"/>
        <charset val="238"/>
      </rPr>
      <t>DATE OF TESTING</t>
    </r>
  </si>
  <si>
    <r>
      <rPr>
        <b/>
        <sz val="10"/>
        <rFont val="Alstom"/>
        <charset val="238"/>
      </rPr>
      <t xml:space="preserve">WARUNKI ŚRODOWISKOWE </t>
    </r>
    <r>
      <rPr>
        <sz val="10"/>
        <rFont val="Alstom"/>
        <charset val="238"/>
      </rPr>
      <t xml:space="preserve">
</t>
    </r>
    <r>
      <rPr>
        <i/>
        <sz val="9"/>
        <rFont val="Alstom"/>
        <charset val="238"/>
      </rPr>
      <t>ENVIRONMENTAL CONDITIONS</t>
    </r>
  </si>
  <si>
    <t>20° C</t>
  </si>
  <si>
    <r>
      <t xml:space="preserve">ODNIESIENIE DO WZORCA
</t>
    </r>
    <r>
      <rPr>
        <i/>
        <sz val="9"/>
        <rFont val="Alstom"/>
        <charset val="238"/>
      </rPr>
      <t>REFERENCE TO THE PATTERN</t>
    </r>
  </si>
  <si>
    <r>
      <t xml:space="preserve">Świadectwo sprawdzania lub wzorcowania
</t>
    </r>
    <r>
      <rPr>
        <i/>
        <sz val="9"/>
        <rFont val="Alstom"/>
        <charset val="238"/>
      </rPr>
      <t>Inspection or calibration certificate</t>
    </r>
  </si>
  <si>
    <r>
      <t xml:space="preserve">OPIS METODY BADANIA 
</t>
    </r>
    <r>
      <rPr>
        <i/>
        <sz val="9"/>
        <rFont val="Alstom"/>
        <charset val="238"/>
      </rPr>
      <t>DESCRIPTION OF THE TEST METHOD</t>
    </r>
  </si>
  <si>
    <r>
      <t xml:space="preserve">Metoda badania
</t>
    </r>
    <r>
      <rPr>
        <i/>
        <sz val="10"/>
        <rFont val="Alstom"/>
        <charset val="238"/>
      </rPr>
      <t>Process method</t>
    </r>
  </si>
  <si>
    <r>
      <t xml:space="preserve">Metoda OWR
</t>
    </r>
    <r>
      <rPr>
        <i/>
        <sz val="10"/>
        <rFont val="Alstom"/>
        <charset val="238"/>
      </rPr>
      <t>DSG method</t>
    </r>
  </si>
  <si>
    <r>
      <t xml:space="preserve">Śr. sprzęgający
</t>
    </r>
    <r>
      <rPr>
        <i/>
        <sz val="10"/>
        <rFont val="Alstom"/>
        <charset val="238"/>
      </rPr>
      <t>Couplant medium</t>
    </r>
  </si>
  <si>
    <r>
      <t xml:space="preserve">Żel Echotrace
</t>
    </r>
    <r>
      <rPr>
        <i/>
        <sz val="10"/>
        <rFont val="Alstom"/>
        <charset val="238"/>
      </rPr>
      <t>Gel Echotrace</t>
    </r>
  </si>
  <si>
    <r>
      <t xml:space="preserve">Aparat
</t>
    </r>
    <r>
      <rPr>
        <i/>
        <sz val="10"/>
        <rFont val="Alstom"/>
        <charset val="238"/>
      </rPr>
      <t>Ultrasonic instrument</t>
    </r>
  </si>
  <si>
    <t>SONATEST WAVE nr I022858</t>
  </si>
  <si>
    <r>
      <rPr>
        <b/>
        <sz val="10"/>
        <rFont val="Alstom"/>
        <charset val="238"/>
      </rPr>
      <t>Blok Kalibracyjny nr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Calibration blocks no.</t>
    </r>
  </si>
  <si>
    <r>
      <t xml:space="preserve">nr 1 nr / </t>
    </r>
    <r>
      <rPr>
        <i/>
        <sz val="10"/>
        <rFont val="Alstom"/>
        <charset val="238"/>
      </rPr>
      <t>no</t>
    </r>
    <r>
      <rPr>
        <b/>
        <sz val="10"/>
        <rFont val="Alstom"/>
        <charset val="238"/>
      </rPr>
      <t xml:space="preserve">  45119-45143
nr 2 nr/  </t>
    </r>
    <r>
      <rPr>
        <i/>
        <sz val="10"/>
        <rFont val="Alstom"/>
        <charset val="238"/>
      </rPr>
      <t>no</t>
    </r>
    <r>
      <rPr>
        <b/>
        <sz val="10"/>
        <rFont val="Alstom"/>
        <charset val="238"/>
      </rPr>
      <t xml:space="preserve">  78215-78239</t>
    </r>
  </si>
  <si>
    <r>
      <rPr>
        <b/>
        <sz val="10"/>
        <rFont val="Alstom"/>
        <charset val="238"/>
      </rPr>
      <t>Blok Referencyjny nr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Reference blocks no.</t>
    </r>
  </si>
  <si>
    <r>
      <t xml:space="preserve">Wyposażenie pomocnicze
</t>
    </r>
    <r>
      <rPr>
        <i/>
        <sz val="8"/>
        <rFont val="Alstom"/>
        <charset val="238"/>
      </rPr>
      <t>Additional equipment</t>
    </r>
    <r>
      <rPr>
        <b/>
        <sz val="8"/>
        <rFont val="Alstom"/>
        <charset val="238"/>
      </rPr>
      <t xml:space="preserve">
</t>
    </r>
  </si>
  <si>
    <t>Przymiar półsztrywny</t>
  </si>
  <si>
    <r>
      <rPr>
        <b/>
        <sz val="10"/>
        <rFont val="Alstom"/>
        <charset val="238"/>
      </rPr>
      <t xml:space="preserve">METODA BADAŃ </t>
    </r>
    <r>
      <rPr>
        <sz val="10"/>
        <rFont val="Alstom"/>
        <charset val="238"/>
      </rPr>
      <t xml:space="preserve"> 
</t>
    </r>
    <r>
      <rPr>
        <i/>
        <sz val="10"/>
        <rFont val="Alstom"/>
        <charset val="238"/>
      </rPr>
      <t>TEST  METHOD</t>
    </r>
  </si>
  <si>
    <t>PN-EN ISO 17640:2019-01
PN-EN ISO 16810:2014-06; PN-EN ISO 16823:2014-06</t>
  </si>
  <si>
    <r>
      <rPr>
        <b/>
        <sz val="10"/>
        <rFont val="Alstom"/>
        <charset val="238"/>
      </rPr>
      <t xml:space="preserve">NORMY 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STANDARDS</t>
    </r>
  </si>
  <si>
    <t>PN-EN ISO 11666; PN-EN ISO 23279; PN-EN ISO 22232-1; PN-EN ISO 22232-2;PN-EN ISO 22232-3; 
PN-EN ISO 2400; PN-EN ISO 7963; PN-EN ISO 17635;  PN-EN 15085-3; PN-EN ISO 9712</t>
  </si>
  <si>
    <r>
      <rPr>
        <b/>
        <sz val="10"/>
        <rFont val="Alstom"/>
        <charset val="238"/>
      </rPr>
      <t>WYNIKI BADANIA</t>
    </r>
    <r>
      <rPr>
        <sz val="10"/>
        <rFont val="Alstom"/>
        <charset val="238"/>
      </rPr>
      <t xml:space="preserve">
</t>
    </r>
    <r>
      <rPr>
        <i/>
        <sz val="9"/>
        <rFont val="Alstom"/>
        <charset val="238"/>
      </rPr>
      <t>TEST RESULTS</t>
    </r>
  </si>
  <si>
    <r>
      <t xml:space="preserve">WYNIKI BADAŃ PODANO NA KOLEJNYCH STRONACH PROTOKOŁU.
</t>
    </r>
    <r>
      <rPr>
        <i/>
        <sz val="10"/>
        <rFont val="Alstom"/>
        <charset val="238"/>
      </rPr>
      <t>THE TEST RESULTS ARE GIVEN ON THE FOLLOWING PAGES OF THE PROTOCOL.</t>
    </r>
  </si>
  <si>
    <r>
      <rPr>
        <b/>
        <sz val="10"/>
        <rFont val="Alstom"/>
        <charset val="238"/>
      </rPr>
      <t>INSTRUKCJA BADAŃ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TEST INSTRUCTIONS</t>
    </r>
  </si>
  <si>
    <t>UT/1</t>
  </si>
  <si>
    <r>
      <rPr>
        <b/>
        <sz val="10"/>
        <rFont val="Alstom"/>
        <charset val="238"/>
      </rPr>
      <t xml:space="preserve">ZASADA PODEJMOWANIA
DECYZJI
</t>
    </r>
    <r>
      <rPr>
        <i/>
        <sz val="10"/>
        <rFont val="Alstom"/>
        <charset val="238"/>
      </rPr>
      <t>DECISION RULES</t>
    </r>
  </si>
  <si>
    <r>
      <t xml:space="preserve">Zasada podejmowania decyzji została przeprowadzona w oparciu o zalecenia dokumentu
ILAC-G8:09/2019, Binarna zasada podejmowania decyzji oparta na prostej akceptacji (w=0).
</t>
    </r>
    <r>
      <rPr>
        <i/>
        <sz val="9"/>
        <rFont val="Alstom"/>
        <charset val="238"/>
      </rPr>
      <t>The decision-making principle was carried out based on the document's recommendations
ILAC-G8:09/2019, Binary decision rule based on simple acceptance (w=0).</t>
    </r>
  </si>
  <si>
    <r>
      <rPr>
        <b/>
        <sz val="10"/>
        <rFont val="Alstom"/>
        <charset val="238"/>
      </rPr>
      <t>OBIEKT DO BADAŃ ORAZ INFORMACJE DOTYCZĄCE OBIEKTU DOSTARCZONE PRZEZ ZLECENIODAWCĘ.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THE TEST OBJECT AND INFORMATION REGARDING THE OBJECT PROVIDED BY THE CLIENT.</t>
    </r>
  </si>
  <si>
    <t>KIEROWNIK LABORATORIUM</t>
  </si>
  <si>
    <t>LABORATORY MANAGER</t>
  </si>
  <si>
    <r>
      <rPr>
        <b/>
        <sz val="10"/>
        <rFont val="Alstom"/>
        <charset val="238"/>
      </rPr>
      <t>PROTOKÓŁ BADANIA WYDANY PRZEZ LABORATORIUM AKREDYTOWANE Nr AKREDYTYACJI AB 675</t>
    </r>
    <r>
      <rPr>
        <b/>
        <sz val="12"/>
        <rFont val="Alstom"/>
        <charset val="238"/>
      </rPr>
      <t xml:space="preserve">
</t>
    </r>
    <r>
      <rPr>
        <i/>
        <sz val="10"/>
        <rFont val="Alstom"/>
        <charset val="238"/>
      </rPr>
      <t>TEST PROTOCOL ISSUED BY ACCREDITED LABORATORY No. AB 675</t>
    </r>
  </si>
  <si>
    <t>DATA WYDANIA:</t>
  </si>
  <si>
    <r>
      <rPr>
        <b/>
        <sz val="10"/>
        <rFont val="Alstom"/>
        <charset val="238"/>
      </rPr>
      <t>NUMER PROTOKOŁU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PROTOCOL NO.</t>
    </r>
  </si>
  <si>
    <t>DATE OF ISSUE:</t>
  </si>
  <si>
    <r>
      <t xml:space="preserve">WARUNKI BADANIA
</t>
    </r>
    <r>
      <rPr>
        <i/>
        <sz val="9"/>
        <rFont val="Alstom"/>
        <charset val="238"/>
      </rPr>
      <t>TEST CONDITION</t>
    </r>
  </si>
  <si>
    <r>
      <t xml:space="preserve">Temperatura obiektu
</t>
    </r>
    <r>
      <rPr>
        <i/>
        <sz val="9"/>
        <rFont val="Alstom"/>
        <charset val="238"/>
      </rPr>
      <t>Object temperature</t>
    </r>
  </si>
  <si>
    <t>20 ° C</t>
  </si>
  <si>
    <r>
      <t xml:space="preserve">Miernik
</t>
    </r>
    <r>
      <rPr>
        <i/>
        <sz val="9"/>
        <rFont val="Alstom"/>
        <charset val="238"/>
      </rPr>
      <t>Gauge</t>
    </r>
  </si>
  <si>
    <t>Pirometr PT-4980
181008396</t>
  </si>
  <si>
    <r>
      <t xml:space="preserve">Głowica
</t>
    </r>
    <r>
      <rPr>
        <i/>
        <sz val="10"/>
        <rFont val="Alstom"/>
        <charset val="238"/>
      </rPr>
      <t>Probe</t>
    </r>
  </si>
  <si>
    <r>
      <rPr>
        <b/>
        <sz val="10"/>
        <rFont val="Alstom"/>
        <charset val="238"/>
      </rPr>
      <t xml:space="preserve">Nastawa czułości i parametry badania
</t>
    </r>
    <r>
      <rPr>
        <i/>
        <sz val="10"/>
        <rFont val="Alstom"/>
        <charset val="238"/>
      </rPr>
      <t>Sensitivity setting and test parameters</t>
    </r>
  </si>
  <si>
    <r>
      <t xml:space="preserve">Nazwa
</t>
    </r>
    <r>
      <rPr>
        <i/>
        <sz val="7"/>
        <rFont val="Alstom"/>
        <charset val="238"/>
      </rPr>
      <t>Name</t>
    </r>
  </si>
  <si>
    <r>
      <rPr>
        <b/>
        <sz val="7"/>
        <rFont val="Alstom"/>
        <charset val="238"/>
      </rPr>
      <t xml:space="preserve">Wymiar
</t>
    </r>
    <r>
      <rPr>
        <i/>
        <sz val="7"/>
        <rFont val="Alstom"/>
        <charset val="238"/>
      </rPr>
      <t>Dimension</t>
    </r>
  </si>
  <si>
    <r>
      <t xml:space="preserve">Kąt
</t>
    </r>
    <r>
      <rPr>
        <i/>
        <sz val="7"/>
        <rFont val="Alstom"/>
        <charset val="238"/>
      </rPr>
      <t>Angle</t>
    </r>
  </si>
  <si>
    <r>
      <rPr>
        <b/>
        <sz val="7"/>
        <rFont val="Alstom"/>
        <charset val="238"/>
      </rPr>
      <t>Środek głowicy</t>
    </r>
    <r>
      <rPr>
        <sz val="7"/>
        <rFont val="Alstom"/>
        <charset val="238"/>
      </rPr>
      <t xml:space="preserve">
</t>
    </r>
    <r>
      <rPr>
        <i/>
        <sz val="7"/>
        <rFont val="Alstom"/>
        <charset val="238"/>
      </rPr>
      <t>Center of Probe</t>
    </r>
  </si>
  <si>
    <r>
      <rPr>
        <b/>
        <sz val="7"/>
        <rFont val="Alstom"/>
        <charset val="238"/>
      </rPr>
      <t>Wzorzec odniesienia</t>
    </r>
    <r>
      <rPr>
        <sz val="7"/>
        <rFont val="Alstom"/>
        <charset val="238"/>
      </rPr>
      <t xml:space="preserve">
</t>
    </r>
    <r>
      <rPr>
        <i/>
        <sz val="7"/>
        <rFont val="Alstom"/>
        <charset val="238"/>
      </rPr>
      <t>Reference block</t>
    </r>
  </si>
  <si>
    <r>
      <rPr>
        <b/>
        <sz val="7"/>
        <rFont val="Alstom"/>
        <charset val="238"/>
      </rPr>
      <t>Rodzaj skalowania</t>
    </r>
    <r>
      <rPr>
        <sz val="7"/>
        <rFont val="Alstom"/>
        <charset val="238"/>
      </rPr>
      <t xml:space="preserve">
</t>
    </r>
    <r>
      <rPr>
        <i/>
        <sz val="7"/>
        <rFont val="Alstom"/>
        <charset val="238"/>
      </rPr>
      <t>Scaling type</t>
    </r>
  </si>
  <si>
    <t>Wzm. Odniesienia (0,8H) dB</t>
  </si>
  <si>
    <r>
      <rPr>
        <b/>
        <sz val="7"/>
        <rFont val="Alstom"/>
        <charset val="238"/>
      </rPr>
      <t>Grubość materiału</t>
    </r>
    <r>
      <rPr>
        <sz val="7"/>
        <rFont val="Alstom"/>
        <charset val="238"/>
      </rPr>
      <t xml:space="preserve">
</t>
    </r>
    <r>
      <rPr>
        <i/>
        <sz val="7"/>
        <rFont val="Alstom"/>
        <charset val="238"/>
      </rPr>
      <t>Material thickness</t>
    </r>
  </si>
  <si>
    <r>
      <rPr>
        <b/>
        <sz val="7"/>
        <rFont val="Alstom"/>
        <charset val="238"/>
      </rPr>
      <t>Kierunek badania</t>
    </r>
    <r>
      <rPr>
        <sz val="7"/>
        <rFont val="Alstom"/>
        <charset val="238"/>
      </rPr>
      <t xml:space="preserve">
</t>
    </r>
    <r>
      <rPr>
        <i/>
        <sz val="7"/>
        <rFont val="Alstom"/>
        <charset val="238"/>
      </rPr>
      <t>Test direction</t>
    </r>
  </si>
  <si>
    <t>DSR</t>
  </si>
  <si>
    <r>
      <rPr>
        <b/>
        <sz val="7"/>
        <rFont val="Alstom"/>
        <charset val="238"/>
      </rPr>
      <t>Wzmocnienie badania</t>
    </r>
    <r>
      <rPr>
        <sz val="7"/>
        <rFont val="Alstom"/>
        <charset val="238"/>
      </rPr>
      <t xml:space="preserve">
</t>
    </r>
    <r>
      <rPr>
        <i/>
        <sz val="7"/>
        <rFont val="Alstom"/>
        <charset val="238"/>
      </rPr>
      <t>Reference gain</t>
    </r>
  </si>
  <si>
    <r>
      <rPr>
        <b/>
        <sz val="7"/>
        <rFont val="Alstom"/>
        <charset val="238"/>
      </rPr>
      <t>Zakres obs.</t>
    </r>
    <r>
      <rPr>
        <sz val="7"/>
        <rFont val="Alstom"/>
        <charset val="238"/>
      </rPr>
      <t xml:space="preserve">
</t>
    </r>
    <r>
      <rPr>
        <i/>
        <sz val="7"/>
        <rFont val="Alstom"/>
        <charset val="238"/>
      </rPr>
      <t>Range</t>
    </r>
  </si>
  <si>
    <t>°</t>
  </si>
  <si>
    <t>mm</t>
  </si>
  <si>
    <t>⌀mm</t>
  </si>
  <si>
    <t>dB</t>
  </si>
  <si>
    <t>SMA4-70ZR</t>
  </si>
  <si>
    <t>4,0  MHz  8x9 mm</t>
  </si>
  <si>
    <t>Nr 2</t>
  </si>
  <si>
    <t>Auto.</t>
  </si>
  <si>
    <t>6; 8; 10; 12</t>
  </si>
  <si>
    <t>A</t>
  </si>
  <si>
    <t>1,5</t>
  </si>
  <si>
    <t>SMA4-60ZR</t>
  </si>
  <si>
    <t xml:space="preserve">Nr 2 </t>
  </si>
  <si>
    <t>S10 W4C</t>
  </si>
  <si>
    <t>4,0       ⌀10 mm</t>
  </si>
  <si>
    <t>Nr 1</t>
  </si>
  <si>
    <t>Pa</t>
  </si>
  <si>
    <t>C</t>
  </si>
  <si>
    <t>5,0</t>
  </si>
  <si>
    <t>Ustawienia aparatu:    Zakres częstotliwości: 0,2-22,5 MHz; Poziom spustu: 50%SH; Tłumienie nadajnika: 50 Ohm; PRF: 240 Hz; Zakres częstotliwości: 4 MHz; Napięcie nadajnika: 150V</t>
  </si>
  <si>
    <r>
      <t xml:space="preserve">WYNIKI BADANIA
</t>
    </r>
    <r>
      <rPr>
        <i/>
        <sz val="10"/>
        <rFont val="Alstom"/>
        <charset val="238"/>
      </rPr>
      <t>TEST RESULTS</t>
    </r>
  </si>
  <si>
    <r>
      <rPr>
        <b/>
        <sz val="10"/>
        <rFont val="Alstom"/>
        <charset val="238"/>
      </rPr>
      <t xml:space="preserve">Wyniki przeprowadzonego badania przedstawiono poniżej:
</t>
    </r>
    <r>
      <rPr>
        <i/>
        <sz val="9"/>
        <rFont val="Alstom"/>
        <charset val="238"/>
      </rPr>
      <t>Test results are the following:</t>
    </r>
  </si>
  <si>
    <r>
      <rPr>
        <b/>
        <sz val="8"/>
        <rFont val="Alstom"/>
        <charset val="238"/>
      </rPr>
      <t>Nr Spoiny</t>
    </r>
    <r>
      <rPr>
        <sz val="8"/>
        <rFont val="Alstom"/>
        <charset val="238"/>
      </rPr>
      <t xml:space="preserve"> / </t>
    </r>
    <r>
      <rPr>
        <i/>
        <sz val="8"/>
        <rFont val="Alstom"/>
        <charset val="238"/>
      </rPr>
      <t>Weld no</t>
    </r>
  </si>
  <si>
    <r>
      <rPr>
        <b/>
        <sz val="8"/>
        <rFont val="Alstom"/>
        <charset val="238"/>
      </rPr>
      <t>Położenie głowicy</t>
    </r>
    <r>
      <rPr>
        <sz val="8"/>
        <rFont val="Alstom"/>
        <charset val="238"/>
      </rPr>
      <t xml:space="preserve">/
</t>
    </r>
    <r>
      <rPr>
        <i/>
        <sz val="8"/>
        <rFont val="Alstom"/>
        <charset val="238"/>
      </rPr>
      <t>Probe position</t>
    </r>
  </si>
  <si>
    <r>
      <rPr>
        <b/>
        <sz val="8"/>
        <rFont val="Alstom"/>
        <charset val="238"/>
      </rPr>
      <t>Głowica / oznaczenie</t>
    </r>
    <r>
      <rPr>
        <sz val="8"/>
        <rFont val="Alstom"/>
        <charset val="238"/>
      </rPr>
      <t xml:space="preserve">
</t>
    </r>
    <r>
      <rPr>
        <i/>
        <sz val="8"/>
        <rFont val="Alstom"/>
        <charset val="238"/>
      </rPr>
      <t>Probe / designation</t>
    </r>
  </si>
  <si>
    <t>Droga wiązki</t>
  </si>
  <si>
    <t>Długość i orientacja wskazania</t>
  </si>
  <si>
    <t>Wyniki</t>
  </si>
  <si>
    <t>Poziom akceptacji wg
 EN ISO 11666</t>
  </si>
  <si>
    <t>technika badania i poziom badania       
  EN ISO 17640</t>
  </si>
  <si>
    <t>Poziom jakości w odniesieniu do
 EN ISO 5817</t>
  </si>
  <si>
    <t>Uwagi</t>
  </si>
  <si>
    <t>położenie wzgl. Układu odniesienia</t>
  </si>
  <si>
    <t>rzut w kierunku Z</t>
  </si>
  <si>
    <t>rzut w kierunku X</t>
  </si>
  <si>
    <t>rzut w kierunku Y</t>
  </si>
  <si>
    <t>przekroczenie poziomu odniesienia [dB]</t>
  </si>
  <si>
    <t>zarejestrowana długość wskazania [mm]</t>
  </si>
  <si>
    <t>w kierunku wzdłużnym</t>
  </si>
  <si>
    <t>w kierunku poprzecznym</t>
  </si>
  <si>
    <t>SMA4-70ZR                               SMA4-60ZR</t>
  </si>
  <si>
    <t>vPa</t>
  </si>
  <si>
    <t>-</t>
  </si>
  <si>
    <t>2</t>
  </si>
  <si>
    <t>B</t>
  </si>
  <si>
    <t>CP B</t>
  </si>
  <si>
    <t>---</t>
  </si>
  <si>
    <t>POPRAWKA</t>
  </si>
  <si>
    <t xml:space="preserve">  BADAŁ I OCENIŁ</t>
  </si>
  <si>
    <t>ZATWIERDZIŁ</t>
  </si>
  <si>
    <t>CHECKED AND ASSESSED BY</t>
  </si>
  <si>
    <t>AUTHORIZED BY</t>
  </si>
  <si>
    <r>
      <rPr>
        <b/>
        <sz val="10"/>
        <rFont val="Alstom"/>
        <charset val="238"/>
      </rPr>
      <t xml:space="preserve">Spełnia wymagania 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Fulfills</t>
    </r>
  </si>
  <si>
    <r>
      <rPr>
        <b/>
        <sz val="10"/>
        <rFont val="Alstom"/>
        <charset val="238"/>
      </rPr>
      <t xml:space="preserve">Nie spełnia wymagań 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Not fulfilled</t>
    </r>
  </si>
  <si>
    <r>
      <rPr>
        <b/>
        <sz val="11"/>
        <rFont val="Alstom"/>
        <charset val="238"/>
      </rPr>
      <t>KONIEC PROTOKOŁU</t>
    </r>
    <r>
      <rPr>
        <sz val="10"/>
        <rFont val="Alstom"/>
        <charset val="238"/>
      </rPr>
      <t xml:space="preserve">
</t>
    </r>
    <r>
      <rPr>
        <i/>
        <sz val="10"/>
        <rFont val="Alstom"/>
        <charset val="238"/>
      </rPr>
      <t>END OF PROTOCOL</t>
    </r>
  </si>
  <si>
    <r>
      <t xml:space="preserve">Niniejszy protokół może być okazywany lub kopiowany tylko w całości i nie jest ważny bez podpisów i pieczęci.
Przedstawione wyniki odnoszą się tylko i wyłącznie do obiektu badanego,  w określonym czasie i warunkach klimatycznych. 
</t>
    </r>
    <r>
      <rPr>
        <i/>
        <sz val="8"/>
        <rFont val="Alstom"/>
        <charset val="238"/>
      </rPr>
      <t>This protocol may only be presented or copied in its entirety and is not valid without signatures and seals.
The presented results refer only to the tested object, at a specific time and climatic conditions.</t>
    </r>
  </si>
  <si>
    <t>U/ 734 /26</t>
  </si>
  <si>
    <t>X53</t>
  </si>
  <si>
    <t>MORYC</t>
  </si>
  <si>
    <t>Projekt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</si>
</sst>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9">
    <font>
      <sz val="10"/>
      <name val="Arial"/>
      <charset val="238"/>
    </font>
    <font>
      <sz val="10"/>
      <name val="Alstom"/>
      <charset val="238"/>
    </font>
    <font>
      <sz val="6"/>
      <name val="Alstom"/>
      <charset val="238"/>
    </font>
    <font>
      <sz val="16"/>
      <name val="Alstom"/>
      <charset val="238"/>
    </font>
    <font>
      <b/>
      <sz val="7"/>
      <name val="Alstom"/>
      <charset val="238"/>
    </font>
    <font>
      <sz val="7"/>
      <name val="Alstom"/>
      <charset val="238"/>
    </font>
    <font>
      <b/>
      <sz val="10"/>
      <name val="Alstom"/>
      <charset val="238"/>
    </font>
    <font>
      <b/>
      <sz val="9"/>
      <name val="Alstom"/>
      <charset val="238"/>
    </font>
    <font>
      <b/>
      <sz val="8"/>
      <name val="Alstom"/>
      <charset val="238"/>
    </font>
    <font>
      <sz val="9"/>
      <name val="Alstom"/>
      <charset val="238"/>
    </font>
    <font>
      <sz val="8"/>
      <name val="Alstom"/>
      <charset val="238"/>
    </font>
    <font>
      <sz val="5"/>
      <name val="Alstom"/>
      <charset val="238"/>
    </font>
    <font>
      <b/>
      <sz val="12"/>
      <name val="Alstom"/>
      <charset val="238"/>
    </font>
    <font>
      <sz val="12"/>
      <name val="Alstom"/>
      <charset val="238"/>
    </font>
    <font>
      <b/>
      <sz val="14"/>
      <name val="Alstom"/>
      <charset val="238"/>
    </font>
    <font>
      <sz val="11"/>
      <name val="Alstom"/>
      <charset val="238"/>
    </font>
    <font>
      <b/>
      <sz val="16"/>
      <name val="Alstom"/>
      <charset val="238"/>
    </font>
    <font>
      <i/>
      <sz val="10"/>
      <name val="Alstom"/>
      <charset val="238"/>
    </font>
    <font>
      <vertAlign val="superscript"/>
      <sz val="9"/>
      <name val="Alstom"/>
      <charset val="238"/>
    </font>
    <font>
      <vertAlign val="subscript"/>
      <sz val="10"/>
      <name val="Alstom"/>
      <charset val="238"/>
    </font>
    <font>
      <i/>
      <sz val="9"/>
      <name val="Alstom"/>
      <charset val="238"/>
    </font>
    <font>
      <b/>
      <i/>
      <sz val="14"/>
      <name val="Alstom"/>
      <charset val="238"/>
    </font>
    <font>
      <i/>
      <sz val="8"/>
      <name val="Alstom"/>
      <charset val="238"/>
    </font>
    <font>
      <b/>
      <sz val="11"/>
      <name val="Alstom"/>
      <charset val="238"/>
    </font>
    <font>
      <b/>
      <sz val="18"/>
      <name val="Alstom"/>
      <charset val="238"/>
    </font>
    <font>
      <i/>
      <sz val="7"/>
      <name val="Alstom"/>
      <charset val="238"/>
    </font>
    <font>
      <b/>
      <sz val="7"/>
      <name val="Aptos Narrow"/>
      <family val="2"/>
      <charset val="238"/>
    </font>
    <font>
      <sz val="8"/>
      <name val="Arial"/>
      <family val="2"/>
      <charset val="238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4">
    <xf numFmtId="0" fontId="0" fillId="0" borderId="0" xfId="0"/>
    <xf numFmtId="0" fontId="1" fillId="0" borderId="8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6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0" borderId="1" xfId="0" applyFont="1" applyBorder="1"/>
    <xf numFmtId="0" fontId="11" fillId="0" borderId="0" xfId="0" applyFont="1"/>
    <xf numFmtId="0" fontId="3" fillId="0" borderId="0" xfId="0" applyFont="1"/>
    <xf numFmtId="14" fontId="1" fillId="0" borderId="0" xfId="0" applyNumberFormat="1" applyFont="1"/>
    <xf numFmtId="0" fontId="8" fillId="0" borderId="0" xfId="0" applyFont="1"/>
    <xf numFmtId="0" fontId="10" fillId="0" borderId="0" xfId="0" applyFont="1"/>
    <xf numFmtId="16" fontId="10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14" fontId="6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13" xfId="0" applyFont="1" applyBorder="1"/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/>
    <xf numFmtId="0" fontId="6" fillId="0" borderId="17" xfId="0" applyFont="1" applyBorder="1"/>
    <xf numFmtId="0" fontId="2" fillId="0" borderId="17" xfId="0" applyFont="1" applyBorder="1" applyAlignment="1">
      <alignment vertical="center" wrapText="1"/>
    </xf>
    <xf numFmtId="0" fontId="1" fillId="0" borderId="17" xfId="0" applyFont="1" applyBorder="1"/>
    <xf numFmtId="0" fontId="5" fillId="0" borderId="17" xfId="0" applyFont="1" applyBorder="1"/>
    <xf numFmtId="0" fontId="4" fillId="0" borderId="17" xfId="0" applyFont="1" applyBorder="1" applyAlignment="1">
      <alignment wrapText="1"/>
    </xf>
    <xf numFmtId="0" fontId="8" fillId="0" borderId="17" xfId="0" applyFont="1" applyBorder="1"/>
    <xf numFmtId="14" fontId="6" fillId="0" borderId="17" xfId="0" applyNumberFormat="1" applyFont="1" applyBorder="1" applyAlignment="1">
      <alignment vertical="center" wrapText="1"/>
    </xf>
    <xf numFmtId="0" fontId="6" fillId="0" borderId="17" xfId="0" quotePrefix="1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7" fillId="0" borderId="17" xfId="0" applyFont="1" applyBorder="1" applyAlignment="1">
      <alignment vertical="top" wrapText="1"/>
    </xf>
    <xf numFmtId="0" fontId="8" fillId="0" borderId="17" xfId="0" quotePrefix="1" applyFont="1" applyBorder="1"/>
    <xf numFmtId="0" fontId="8" fillId="0" borderId="17" xfId="0" applyFont="1" applyBorder="1" applyAlignment="1">
      <alignment vertical="center" wrapText="1"/>
    </xf>
    <xf numFmtId="0" fontId="10" fillId="0" borderId="17" xfId="0" applyFont="1" applyBorder="1"/>
    <xf numFmtId="0" fontId="11" fillId="0" borderId="17" xfId="0" applyFont="1" applyBorder="1"/>
    <xf numFmtId="0" fontId="1" fillId="0" borderId="19" xfId="0" applyFont="1" applyBorder="1"/>
    <xf numFmtId="0" fontId="1" fillId="0" borderId="20" xfId="0" applyFont="1" applyBorder="1"/>
    <xf numFmtId="0" fontId="6" fillId="0" borderId="13" xfId="0" applyFont="1" applyBorder="1"/>
    <xf numFmtId="0" fontId="14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6" fillId="0" borderId="18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164" fontId="6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6" fillId="0" borderId="13" xfId="0" applyFont="1" applyBorder="1" applyAlignment="1">
      <alignment vertical="center"/>
    </xf>
    <xf numFmtId="0" fontId="20" fillId="0" borderId="13" xfId="0" applyFont="1" applyBorder="1"/>
    <xf numFmtId="0" fontId="13" fillId="0" borderId="0" xfId="0" applyFont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textRotation="90" wrapText="1"/>
    </xf>
    <xf numFmtId="0" fontId="7" fillId="0" borderId="0" xfId="0" applyFont="1" applyAlignment="1">
      <alignment vertical="center" textRotation="90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vertical="top"/>
    </xf>
    <xf numFmtId="14" fontId="0" fillId="0" borderId="0" xfId="0" applyNumberFormat="1"/>
    <xf numFmtId="0" fontId="28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 vertical="top" wrapText="1"/>
    </xf>
    <xf numFmtId="1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 vertical="center" wrapText="1"/>
    </xf>
    <xf numFmtId="14" fontId="2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17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6" fillId="0" borderId="0" xfId="0" quotePrefix="1" applyFont="1" applyAlignment="1">
      <alignment horizontal="left" vertical="center" wrapText="1"/>
    </xf>
    <xf numFmtId="164" fontId="2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6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6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9" fontId="6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1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6" fillId="0" borderId="0" xfId="0" applyFont="1"/>
    <xf numFmtId="0" fontId="10" fillId="0" borderId="0" xfId="0" applyFont="1" applyAlignment="1">
      <alignment horizontal="left" wrapText="1"/>
    </xf>
    <xf numFmtId="0" fontId="8" fillId="0" borderId="0" xfId="0" quotePrefix="1" applyFont="1" applyAlignment="1">
      <alignment horizont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14" fontId="23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6" fillId="0" borderId="0" xfId="0" applyFont="1" applyAlignment="1">
      <alignment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12" xfId="0" quotePrefix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textRotation="90" wrapText="1"/>
    </xf>
    <xf numFmtId="0" fontId="10" fillId="0" borderId="12" xfId="0" quotePrefix="1" applyFont="1" applyBorder="1" applyAlignment="1">
      <alignment horizontal="center" vertical="center" textRotation="90" wrapText="1"/>
    </xf>
    <xf numFmtId="0" fontId="10" fillId="0" borderId="12" xfId="0" quotePrefix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quotePrefix="1" applyFont="1" applyBorder="1" applyAlignment="1">
      <alignment horizontal="center" vertical="center" wrapText="1"/>
    </xf>
    <xf numFmtId="0" fontId="4" fillId="0" borderId="9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0" fontId="5" fillId="0" borderId="12" xfId="0" quotePrefix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8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1" fillId="0" borderId="12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106245</xdr:colOff>
      <xdr:row>1</xdr:row>
      <xdr:rowOff>134807</xdr:rowOff>
    </xdr:from>
    <xdr:to>
      <xdr:col>10</xdr:col>
      <xdr:colOff>877</xdr:colOff>
      <xdr:row>4</xdr:row>
      <xdr:rowOff>32744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45" y="308742"/>
          <a:ext cx="1716806" cy="419741"/>
        </a:xfrm>
        <a:prstGeom prst="rect">
          <a:avLst/>
        </a:prstGeom>
      </xdr:spPr>
    </xdr:pic>
    <xdr:clientData/>
  </xdr:twoCellAnchor>
  <xdr:twoCellAnchor editAs="oneCell">
    <xdr:from>
      <xdr:col>40</xdr:col>
      <xdr:colOff>33130</xdr:colOff>
      <xdr:row>0</xdr:row>
      <xdr:rowOff>107674</xdr:rowOff>
    </xdr:from>
    <xdr:to>
      <xdr:col>44</xdr:col>
      <xdr:colOff>170793</xdr:colOff>
      <xdr:row>9</xdr:row>
      <xdr:rowOff>115826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1826" y="107674"/>
          <a:ext cx="866532" cy="1573565"/>
        </a:xfrm>
        <a:prstGeom prst="rect">
          <a:avLst/>
        </a:prstGeom>
      </xdr:spPr>
    </xdr:pic>
    <xdr:clientData/>
  </xdr:twoCellAnchor>
  <xdr:twoCellAnchor editAs="oneCell">
    <xdr:from>
      <xdr:col>31</xdr:col>
      <xdr:colOff>99391</xdr:colOff>
      <xdr:row>69</xdr:row>
      <xdr:rowOff>107675</xdr:rowOff>
    </xdr:from>
    <xdr:to>
      <xdr:col>40</xdr:col>
      <xdr:colOff>124655</xdr:colOff>
      <xdr:row>73</xdr:row>
      <xdr:rowOff>25144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8130" y="12001501"/>
          <a:ext cx="1665221" cy="6463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177800</xdr:colOff>
          <xdr:row>64</xdr:row>
          <xdr:rowOff>12700</xdr:rowOff>
        </xdr:from>
        <xdr:to>
          <xdr:col>12</xdr:col>
          <xdr:colOff>152400</xdr:colOff>
          <xdr:row>65</xdr:row>
          <xdr:rowOff>166076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127000</xdr:colOff>
          <xdr:row>63</xdr:row>
          <xdr:rowOff>177800</xdr:rowOff>
        </xdr:from>
        <xdr:to>
          <xdr:col>33</xdr:col>
          <xdr:colOff>63500</xdr:colOff>
          <xdr:row>66</xdr:row>
          <xdr:rowOff>12700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2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34</xdr:col>
      <xdr:colOff>77317</xdr:colOff>
      <xdr:row>58</xdr:row>
      <xdr:rowOff>161470</xdr:rowOff>
    </xdr:from>
    <xdr:to>
      <xdr:col>43</xdr:col>
      <xdr:colOff>124943</xdr:colOff>
      <xdr:row>62</xdr:row>
      <xdr:rowOff>31094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986"/>
        <a:stretch/>
      </xdr:blipFill>
      <xdr:spPr>
        <a:xfrm>
          <a:off x="6720394" y="10038162"/>
          <a:ext cx="1806087" cy="553470"/>
        </a:xfrm>
        <a:prstGeom prst="rect">
          <a:avLst/>
        </a:prstGeom>
      </xdr:spPr>
    </xdr:pic>
    <xdr:clientData/>
  </xdr:twoCellAnchor>
  <xdr:twoCellAnchor editAs="oneCell">
    <xdr:from>
      <xdr:col>5</xdr:col>
      <xdr:colOff>48846</xdr:colOff>
      <xdr:row>58</xdr:row>
      <xdr:rowOff>112346</xdr:rowOff>
    </xdr:from>
    <xdr:to>
      <xdr:col>10</xdr:col>
      <xdr:colOff>127000</xdr:colOff>
      <xdr:row>62</xdr:row>
      <xdr:rowOff>108365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8A5F49-246F-594E-F163-D4D914B3F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769" y="9989038"/>
          <a:ext cx="1055077" cy="679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402F-7282-2C41-8F48-98B635407ACF}">
  <dimension ref="A1:B4"/>
  <sheetViews>
    <sheetView workbookViewId="0">
      <selection activeCell="C7" sqref="C7"/>
    </sheetView>
  </sheetViews>
  <sheetFormatPr baseColWidth="10" defaultRowHeight="13"/>
  <sheetData>
    <row r="1" spans="1:2">
      <c r="A1" s="115">
        <v>46141</v>
      </c>
      <c r="B1" s="116" t="s">
        <v>132</v>
      </c>
    </row>
    <row r="2" spans="1:2">
      <c r="A2" s="116" t="s">
        <v>132</v>
      </c>
      <c r="B2" s="116"/>
    </row>
    <row r="3" spans="1:2">
      <c r="A3" s="116" t="s">
        <v>133</v>
      </c>
      <c r="B3" s="116"/>
    </row>
    <row r="4" spans="1:2">
      <c r="A4" s="116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EB0B-8E44-4F1D-BC2C-482AE8398C3D}">
  <sheetPr>
    <pageSetUpPr fitToPage="1"/>
  </sheetPr>
  <dimension ref="A1:AW145"/>
  <sheetViews>
    <sheetView tabSelected="1" view="pageBreakPreview" zoomScale="115" zoomScaleSheetLayoutView="115" workbookViewId="0">
      <selection activeCell="I12" sqref="I12:M13"/>
    </sheetView>
  </sheetViews>
  <sheetFormatPr baseColWidth="10" defaultColWidth="9.1640625" defaultRowHeight="13"/>
  <cols>
    <col min="1" max="46" width="2.83203125" style="4" customWidth="1"/>
    <col min="47" max="16384" width="9.1640625" style="4"/>
  </cols>
  <sheetData>
    <row r="1" spans="1:46" ht="13.5" customHeight="1">
      <c r="A1" s="165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7"/>
    </row>
    <row r="2" spans="1:46" s="7" customFormat="1" ht="13.5" customHeight="1">
      <c r="A2" s="168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70"/>
    </row>
    <row r="3" spans="1:46" s="7" customFormat="1" ht="13.5" customHeight="1">
      <c r="A3" s="168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70"/>
    </row>
    <row r="4" spans="1:46" s="7" customFormat="1" ht="13.5" customHeight="1">
      <c r="A4" s="168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70"/>
    </row>
    <row r="5" spans="1:46" ht="13.5" customHeight="1">
      <c r="A5" s="168"/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70"/>
    </row>
    <row r="6" spans="1:46" ht="13.5" customHeight="1">
      <c r="A6" s="168"/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70"/>
    </row>
    <row r="7" spans="1:46" ht="13.5" customHeight="1">
      <c r="A7" s="168"/>
      <c r="B7" s="169"/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70"/>
    </row>
    <row r="8" spans="1:46" ht="13.5" customHeight="1">
      <c r="A8" s="51"/>
      <c r="B8" s="49"/>
      <c r="C8" s="121" t="s">
        <v>1</v>
      </c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0" t="s">
        <v>131</v>
      </c>
      <c r="AD8" s="120"/>
      <c r="AE8" s="120"/>
      <c r="AF8" s="120"/>
      <c r="AG8" s="120"/>
      <c r="AH8" s="120"/>
      <c r="AI8" s="120"/>
      <c r="AJ8" s="120"/>
      <c r="AK8" s="120"/>
      <c r="AL8" s="70"/>
      <c r="AM8" s="70"/>
      <c r="AN8" s="70"/>
      <c r="AO8" s="70"/>
      <c r="AP8" s="70"/>
      <c r="AQ8" s="70"/>
      <c r="AR8" s="70"/>
      <c r="AT8" s="52"/>
    </row>
    <row r="9" spans="1:46" ht="13.5" customHeight="1">
      <c r="A9" s="53"/>
      <c r="B9" s="8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0"/>
      <c r="AD9" s="120"/>
      <c r="AE9" s="120"/>
      <c r="AF9" s="120"/>
      <c r="AG9" s="120"/>
      <c r="AH9" s="120"/>
      <c r="AI9" s="120"/>
      <c r="AJ9" s="120"/>
      <c r="AK9" s="120"/>
      <c r="AL9" s="70"/>
      <c r="AM9" s="70"/>
      <c r="AN9" s="70"/>
      <c r="AO9" s="70"/>
      <c r="AP9" s="70"/>
      <c r="AQ9" s="70"/>
      <c r="AR9" s="70"/>
      <c r="AT9" s="52"/>
    </row>
    <row r="10" spans="1:46" ht="13.5" customHeight="1">
      <c r="A10" s="54"/>
      <c r="B10" s="27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0"/>
      <c r="AD10" s="120"/>
      <c r="AE10" s="120"/>
      <c r="AF10" s="120"/>
      <c r="AG10" s="120"/>
      <c r="AH10" s="120"/>
      <c r="AI10" s="120"/>
      <c r="AJ10" s="120"/>
      <c r="AK10" s="120"/>
      <c r="AL10" s="70"/>
      <c r="AM10" s="70"/>
      <c r="AN10" s="70"/>
      <c r="AO10" s="70"/>
      <c r="AP10" s="70"/>
      <c r="AQ10" s="70"/>
      <c r="AR10" s="70"/>
      <c r="AT10" s="52"/>
    </row>
    <row r="11" spans="1:46" ht="9.75" customHeight="1">
      <c r="A11" s="54"/>
      <c r="B11" s="27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T11" s="52"/>
    </row>
    <row r="12" spans="1:46" ht="12" customHeight="1">
      <c r="A12" s="55"/>
      <c r="B12" s="8"/>
      <c r="C12" s="117" t="s">
        <v>2</v>
      </c>
      <c r="D12" s="117"/>
      <c r="E12" s="117"/>
      <c r="F12" s="117"/>
      <c r="G12" s="117"/>
      <c r="H12" s="117"/>
      <c r="I12" s="126">
        <f>DANE!A1</f>
        <v>46141</v>
      </c>
      <c r="J12" s="127"/>
      <c r="K12" s="127"/>
      <c r="L12" s="127"/>
      <c r="M12" s="127"/>
      <c r="T12" s="70"/>
      <c r="U12" s="91"/>
      <c r="V12" s="91"/>
      <c r="W12" s="91"/>
      <c r="X12" s="91"/>
      <c r="Y12" s="91"/>
      <c r="Z12" s="91"/>
      <c r="AA12" s="91"/>
      <c r="AB12" s="70"/>
      <c r="AM12" s="47"/>
      <c r="AN12" s="71"/>
      <c r="AO12" s="134" t="s">
        <v>3</v>
      </c>
      <c r="AP12" s="134"/>
      <c r="AQ12" s="134"/>
      <c r="AR12" s="127" t="str">
        <f ca="1">"s." &amp; _xlfn.SHEET()-1&amp;"/"&amp;_xlfn.SHEETS()-1</f>
        <v>s.1/2</v>
      </c>
      <c r="AS12" s="127"/>
      <c r="AT12" s="72"/>
    </row>
    <row r="13" spans="1:46" ht="12" customHeight="1" thickBot="1">
      <c r="A13" s="55"/>
      <c r="B13" s="93"/>
      <c r="C13" s="129"/>
      <c r="D13" s="129"/>
      <c r="E13" s="129"/>
      <c r="F13" s="129"/>
      <c r="G13" s="129"/>
      <c r="H13" s="129"/>
      <c r="I13" s="128"/>
      <c r="J13" s="128"/>
      <c r="K13" s="128"/>
      <c r="L13" s="128"/>
      <c r="M13" s="128"/>
      <c r="N13" s="48"/>
      <c r="O13" s="48"/>
      <c r="P13" s="48"/>
      <c r="Q13" s="48"/>
      <c r="R13" s="48"/>
      <c r="S13" s="48"/>
      <c r="T13" s="73"/>
      <c r="U13" s="92"/>
      <c r="V13" s="92"/>
      <c r="W13" s="92"/>
      <c r="X13" s="92"/>
      <c r="Y13" s="92"/>
      <c r="Z13" s="92"/>
      <c r="AA13" s="92"/>
      <c r="AB13" s="73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74"/>
      <c r="AN13" s="75"/>
      <c r="AO13" s="135" t="s">
        <v>4</v>
      </c>
      <c r="AP13" s="136"/>
      <c r="AQ13" s="136"/>
      <c r="AR13" s="128"/>
      <c r="AS13" s="128"/>
      <c r="AT13" s="72"/>
    </row>
    <row r="14" spans="1:46" ht="13.5" customHeight="1">
      <c r="A14" s="56"/>
      <c r="AT14" s="52"/>
    </row>
    <row r="15" spans="1:46" ht="13.5" customHeight="1">
      <c r="A15" s="53"/>
      <c r="B15" s="41"/>
      <c r="C15" s="130" t="s">
        <v>5</v>
      </c>
      <c r="D15" s="131"/>
      <c r="E15" s="131"/>
      <c r="F15" s="131"/>
      <c r="G15" s="131"/>
      <c r="H15" s="131"/>
      <c r="I15" s="131"/>
      <c r="J15" s="131"/>
      <c r="K15" s="131"/>
      <c r="L15" s="117" t="s">
        <v>6</v>
      </c>
      <c r="M15" s="117"/>
      <c r="N15" s="117"/>
      <c r="O15" s="117"/>
      <c r="P15" s="117"/>
      <c r="Q15" s="117"/>
      <c r="R15" s="117"/>
      <c r="S15" s="117" t="s">
        <v>7</v>
      </c>
      <c r="T15" s="117"/>
      <c r="U15" s="117"/>
      <c r="V15" s="117"/>
      <c r="W15" s="117"/>
      <c r="X15" s="117"/>
      <c r="Y15" s="117"/>
      <c r="Z15" s="117"/>
      <c r="AA15" s="117" t="s">
        <v>8</v>
      </c>
      <c r="AB15" s="118"/>
      <c r="AC15" s="118"/>
      <c r="AD15" s="118"/>
      <c r="AE15" s="118"/>
      <c r="AF15" s="118"/>
      <c r="AG15" s="118"/>
      <c r="AH15" s="118"/>
      <c r="AI15" s="118"/>
      <c r="AJ15" s="117" t="s">
        <v>9</v>
      </c>
      <c r="AK15" s="118"/>
      <c r="AL15" s="118"/>
      <c r="AM15" s="118"/>
      <c r="AN15" s="118"/>
      <c r="AO15" s="118"/>
      <c r="AP15" s="118"/>
      <c r="AQ15" s="118"/>
      <c r="AR15" s="118"/>
      <c r="AS15" s="118"/>
      <c r="AT15" s="52"/>
    </row>
    <row r="16" spans="1:46" ht="13.5" customHeight="1">
      <c r="A16" s="53"/>
      <c r="B16" s="8"/>
      <c r="C16" s="131"/>
      <c r="D16" s="131"/>
      <c r="E16" s="131"/>
      <c r="F16" s="131"/>
      <c r="G16" s="131"/>
      <c r="H16" s="131"/>
      <c r="I16" s="131"/>
      <c r="J16" s="131"/>
      <c r="K16" s="131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52"/>
    </row>
    <row r="17" spans="1:46" ht="13.5" customHeight="1">
      <c r="A17" s="53"/>
      <c r="B17" s="8"/>
      <c r="C17" s="8"/>
      <c r="D17" s="8"/>
      <c r="E17" s="8"/>
      <c r="F17" s="8"/>
      <c r="G17" s="8"/>
      <c r="H17" s="8"/>
      <c r="I17" s="8"/>
      <c r="J17" s="8"/>
      <c r="K17" s="8"/>
      <c r="L17" s="117" t="s">
        <v>10</v>
      </c>
      <c r="M17" s="117"/>
      <c r="N17" s="117"/>
      <c r="O17" s="117"/>
      <c r="P17" s="117"/>
      <c r="Q17" s="117"/>
      <c r="R17" s="117"/>
      <c r="S17" s="117" t="str">
        <f>DANE!A2</f>
        <v>X53</v>
      </c>
      <c r="T17" s="117"/>
      <c r="U17" s="117"/>
      <c r="V17" s="117"/>
      <c r="W17" s="117"/>
      <c r="X17" s="117"/>
      <c r="Y17" s="117"/>
      <c r="Z17" s="117"/>
      <c r="AA17" s="119" t="s">
        <v>11</v>
      </c>
      <c r="AB17" s="118"/>
      <c r="AC17" s="118"/>
      <c r="AD17" s="118"/>
      <c r="AE17" s="118"/>
      <c r="AF17" s="118"/>
      <c r="AG17" s="118"/>
      <c r="AH17" s="118"/>
      <c r="AI17" s="118"/>
      <c r="AJ17" s="117" t="s">
        <v>12</v>
      </c>
      <c r="AK17" s="118"/>
      <c r="AL17" s="118"/>
      <c r="AM17" s="118"/>
      <c r="AN17" s="118"/>
      <c r="AO17" s="118"/>
      <c r="AP17" s="118"/>
      <c r="AQ17" s="118"/>
      <c r="AR17" s="118"/>
      <c r="AS17" s="118"/>
      <c r="AT17" s="52"/>
    </row>
    <row r="18" spans="1:46" ht="13.5" customHeight="1">
      <c r="A18" s="56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52"/>
    </row>
    <row r="19" spans="1:46" ht="13.5" customHeight="1">
      <c r="A19" s="57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117" t="s">
        <v>13</v>
      </c>
      <c r="M19" s="117"/>
      <c r="N19" s="117"/>
      <c r="O19" s="117"/>
      <c r="P19" s="117"/>
      <c r="Q19" s="117"/>
      <c r="R19" s="117"/>
      <c r="S19" s="117" t="s">
        <v>14</v>
      </c>
      <c r="T19" s="117"/>
      <c r="U19" s="117"/>
      <c r="V19" s="117"/>
      <c r="W19" s="117"/>
      <c r="X19" s="117"/>
      <c r="Y19" s="117"/>
      <c r="Z19" s="117"/>
      <c r="AA19" s="117" t="s">
        <v>15</v>
      </c>
      <c r="AB19" s="118"/>
      <c r="AC19" s="118"/>
      <c r="AD19" s="118"/>
      <c r="AE19" s="118"/>
      <c r="AF19" s="118"/>
      <c r="AG19" s="118"/>
      <c r="AH19" s="118"/>
      <c r="AI19" s="118"/>
      <c r="AJ19" s="117" t="s">
        <v>16</v>
      </c>
      <c r="AK19" s="118"/>
      <c r="AL19" s="118"/>
      <c r="AM19" s="118"/>
      <c r="AN19" s="118"/>
      <c r="AO19" s="118"/>
      <c r="AP19" s="118"/>
      <c r="AQ19" s="118"/>
      <c r="AR19" s="118"/>
      <c r="AS19" s="118"/>
      <c r="AT19" s="52"/>
    </row>
    <row r="20" spans="1:46" ht="13.5" customHeight="1">
      <c r="A20" s="57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52"/>
    </row>
    <row r="21" spans="1:46" ht="13.5" customHeight="1">
      <c r="A21" s="57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117" t="s">
        <v>17</v>
      </c>
      <c r="M21" s="117"/>
      <c r="N21" s="117"/>
      <c r="O21" s="117"/>
      <c r="P21" s="117"/>
      <c r="Q21" s="117"/>
      <c r="R21" s="117"/>
      <c r="S21" s="117" t="str">
        <f>DANE!A3</f>
        <v>MORYC</v>
      </c>
      <c r="T21" s="117"/>
      <c r="U21" s="117"/>
      <c r="V21" s="117"/>
      <c r="W21" s="117"/>
      <c r="X21" s="117"/>
      <c r="Y21" s="117"/>
      <c r="Z21" s="117"/>
      <c r="AA21" s="117"/>
      <c r="AB21" s="118"/>
      <c r="AC21" s="118"/>
      <c r="AD21" s="118"/>
      <c r="AE21" s="118"/>
      <c r="AF21" s="118"/>
      <c r="AG21" s="118"/>
      <c r="AH21" s="118"/>
      <c r="AI21" s="118"/>
      <c r="AJ21" s="117"/>
      <c r="AK21" s="118"/>
      <c r="AL21" s="118"/>
      <c r="AM21" s="118"/>
      <c r="AN21" s="118"/>
      <c r="AO21" s="118"/>
      <c r="AP21" s="118"/>
      <c r="AQ21" s="118"/>
      <c r="AR21" s="118"/>
      <c r="AS21" s="118"/>
      <c r="AT21" s="52"/>
    </row>
    <row r="22" spans="1:46" ht="13.5" customHeight="1">
      <c r="A22" s="57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52"/>
    </row>
    <row r="23" spans="1:46" ht="13.5" customHeight="1">
      <c r="A23" s="57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Y23" s="8"/>
      <c r="Z23" s="8"/>
      <c r="AA23" s="8"/>
      <c r="AB23" s="8"/>
      <c r="AC23" s="8"/>
      <c r="AD23" s="8"/>
      <c r="AE23" s="8"/>
      <c r="AF23" s="8"/>
      <c r="AG23" s="8"/>
      <c r="AT23" s="52"/>
    </row>
    <row r="24" spans="1:46" ht="13.5" customHeight="1">
      <c r="A24" s="57"/>
      <c r="B24" s="41"/>
      <c r="C24" s="130" t="s">
        <v>18</v>
      </c>
      <c r="D24" s="130"/>
      <c r="E24" s="130"/>
      <c r="F24" s="130"/>
      <c r="G24" s="130"/>
      <c r="H24" s="130"/>
      <c r="I24" s="130"/>
      <c r="J24" s="130"/>
      <c r="K24" s="130"/>
      <c r="L24" s="130" t="s">
        <v>19</v>
      </c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52"/>
    </row>
    <row r="25" spans="1:46" ht="13.5" customHeight="1">
      <c r="A25" s="58"/>
      <c r="B25" s="41"/>
      <c r="C25" s="130"/>
      <c r="D25" s="130"/>
      <c r="E25" s="130"/>
      <c r="F25" s="130"/>
      <c r="G25" s="130"/>
      <c r="H25" s="130"/>
      <c r="I25" s="130"/>
      <c r="J25" s="130"/>
      <c r="K25" s="130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52"/>
    </row>
    <row r="26" spans="1:46" ht="13.5" customHeight="1">
      <c r="A26" s="58"/>
      <c r="B26" s="8"/>
      <c r="C26" s="123" t="s">
        <v>20</v>
      </c>
      <c r="D26" s="123"/>
      <c r="E26" s="123"/>
      <c r="F26" s="123"/>
      <c r="G26" s="123"/>
      <c r="H26" s="123"/>
      <c r="I26" s="123"/>
      <c r="J26" s="123"/>
      <c r="K26" s="123"/>
      <c r="L26" s="131" t="s">
        <v>19</v>
      </c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52"/>
    </row>
    <row r="27" spans="1:46" ht="13.5" customHeight="1">
      <c r="A27" s="56"/>
      <c r="C27" s="123"/>
      <c r="D27" s="123"/>
      <c r="E27" s="123"/>
      <c r="F27" s="123"/>
      <c r="G27" s="123"/>
      <c r="H27" s="123"/>
      <c r="I27" s="123"/>
      <c r="J27" s="123"/>
      <c r="K27" s="123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52"/>
    </row>
    <row r="28" spans="1:46" ht="13.5" customHeight="1">
      <c r="A28" s="56"/>
      <c r="C28" s="123" t="s">
        <v>21</v>
      </c>
      <c r="D28" s="124"/>
      <c r="E28" s="124"/>
      <c r="F28" s="124"/>
      <c r="G28" s="124"/>
      <c r="H28" s="124"/>
      <c r="I28" s="124"/>
      <c r="J28" s="124"/>
      <c r="K28" s="124"/>
      <c r="L28" s="133">
        <f>I12</f>
        <v>46141</v>
      </c>
      <c r="M28" s="133"/>
      <c r="N28" s="133"/>
      <c r="O28" s="133"/>
      <c r="P28" s="133"/>
      <c r="Q28" s="133"/>
      <c r="R28" s="133"/>
      <c r="S28" s="133"/>
      <c r="T28" s="133"/>
      <c r="X28" s="130" t="s">
        <v>22</v>
      </c>
      <c r="Y28" s="130"/>
      <c r="Z28" s="130"/>
      <c r="AA28" s="130"/>
      <c r="AB28" s="130"/>
      <c r="AC28" s="130"/>
      <c r="AD28" s="179">
        <f>I12</f>
        <v>46141</v>
      </c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T28" s="52"/>
    </row>
    <row r="29" spans="1:46" ht="13.5" customHeight="1">
      <c r="A29" s="59"/>
      <c r="B29" s="42"/>
      <c r="C29" s="124"/>
      <c r="D29" s="124"/>
      <c r="E29" s="124"/>
      <c r="F29" s="124"/>
      <c r="G29" s="124"/>
      <c r="H29" s="124"/>
      <c r="I29" s="124"/>
      <c r="J29" s="124"/>
      <c r="K29" s="124"/>
      <c r="L29" s="133"/>
      <c r="M29" s="133"/>
      <c r="N29" s="133"/>
      <c r="O29" s="133"/>
      <c r="P29" s="133"/>
      <c r="Q29" s="133"/>
      <c r="R29" s="133"/>
      <c r="S29" s="133"/>
      <c r="T29" s="133"/>
      <c r="X29" s="130"/>
      <c r="Y29" s="130"/>
      <c r="Z29" s="130"/>
      <c r="AA29" s="130"/>
      <c r="AB29" s="130"/>
      <c r="AC29" s="13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T29" s="52"/>
    </row>
    <row r="30" spans="1:46" ht="13.5" customHeight="1">
      <c r="A30" s="59"/>
      <c r="B30" s="42"/>
      <c r="C30" s="12"/>
      <c r="D30" s="12"/>
      <c r="E30" s="12"/>
      <c r="F30" s="12"/>
      <c r="G30" s="12"/>
      <c r="H30" s="12"/>
      <c r="I30" s="12"/>
      <c r="J30" s="12"/>
      <c r="K30" s="12"/>
      <c r="L30" s="82"/>
      <c r="M30" s="82"/>
      <c r="N30" s="82"/>
      <c r="O30" s="82"/>
      <c r="P30" s="82"/>
      <c r="Q30" s="82"/>
      <c r="R30" s="82"/>
      <c r="S30" s="82"/>
      <c r="T30" s="82"/>
      <c r="X30" s="76"/>
      <c r="Y30" s="76"/>
      <c r="Z30" s="76"/>
      <c r="AA30" s="76"/>
      <c r="AB30" s="76"/>
      <c r="AC30" s="76"/>
      <c r="AD30" s="76"/>
      <c r="AE30" s="76"/>
      <c r="AF30" s="76"/>
      <c r="AG30" s="77"/>
      <c r="AH30" s="77"/>
      <c r="AI30" s="79"/>
      <c r="AJ30" s="79"/>
      <c r="AK30" s="8"/>
      <c r="AL30" s="8"/>
      <c r="AT30" s="52"/>
    </row>
    <row r="31" spans="1:46" ht="13.5" customHeight="1">
      <c r="A31" s="59"/>
      <c r="B31" s="42"/>
      <c r="C31" s="123" t="s">
        <v>23</v>
      </c>
      <c r="D31" s="124"/>
      <c r="E31" s="124"/>
      <c r="F31" s="124"/>
      <c r="G31" s="124"/>
      <c r="H31" s="124"/>
      <c r="I31" s="124"/>
      <c r="J31" s="124"/>
      <c r="K31" s="124"/>
      <c r="L31" s="140" t="s">
        <v>24</v>
      </c>
      <c r="M31" s="140"/>
      <c r="N31" s="82"/>
      <c r="O31" s="82"/>
      <c r="P31" s="82"/>
      <c r="Q31" s="82"/>
      <c r="R31" s="82"/>
      <c r="S31" s="82"/>
      <c r="T31" s="82"/>
      <c r="X31" s="76"/>
      <c r="Y31" s="76"/>
      <c r="Z31" s="76"/>
      <c r="AA31" s="76"/>
      <c r="AB31" s="76"/>
      <c r="AC31" s="76"/>
      <c r="AD31" s="76"/>
      <c r="AE31" s="76"/>
      <c r="AF31" s="76"/>
      <c r="AG31" s="77"/>
      <c r="AH31" s="77"/>
      <c r="AI31" s="79"/>
      <c r="AJ31" s="79"/>
      <c r="AK31" s="8"/>
      <c r="AL31" s="8"/>
      <c r="AT31" s="52"/>
    </row>
    <row r="32" spans="1:46" ht="13.5" customHeight="1">
      <c r="A32" s="59"/>
      <c r="B32" s="42"/>
      <c r="C32" s="124"/>
      <c r="D32" s="124"/>
      <c r="E32" s="124"/>
      <c r="F32" s="124"/>
      <c r="G32" s="124"/>
      <c r="H32" s="124"/>
      <c r="I32" s="124"/>
      <c r="J32" s="124"/>
      <c r="K32" s="124"/>
      <c r="L32" s="140"/>
      <c r="M32" s="140"/>
      <c r="N32" s="82"/>
      <c r="O32" s="82"/>
      <c r="P32" s="82"/>
      <c r="Q32" s="82"/>
      <c r="R32" s="82"/>
      <c r="S32" s="82"/>
      <c r="T32" s="82"/>
      <c r="X32" s="76"/>
      <c r="Y32" s="76"/>
      <c r="Z32" s="76"/>
      <c r="AA32" s="76"/>
      <c r="AB32" s="76"/>
      <c r="AC32" s="76"/>
      <c r="AD32" s="76"/>
      <c r="AE32" s="76"/>
      <c r="AF32" s="76"/>
      <c r="AG32" s="77"/>
      <c r="AH32" s="77"/>
      <c r="AI32" s="79"/>
      <c r="AJ32" s="79"/>
      <c r="AK32" s="8"/>
      <c r="AL32" s="8"/>
      <c r="AT32" s="52"/>
    </row>
    <row r="33" spans="1:49" ht="13.5" customHeight="1">
      <c r="A33" s="59"/>
      <c r="B33" s="42"/>
      <c r="C33" s="42"/>
      <c r="D33" s="42"/>
      <c r="E33" s="42"/>
      <c r="F33" s="42"/>
      <c r="G33" s="42"/>
      <c r="H33" s="42"/>
      <c r="R33" s="25"/>
      <c r="W33" s="12"/>
      <c r="X33" s="12"/>
      <c r="Y33" s="12"/>
      <c r="Z33" s="12"/>
      <c r="AA33" s="12"/>
      <c r="AB33" s="12"/>
      <c r="AC33" s="12"/>
      <c r="AT33" s="52"/>
    </row>
    <row r="34" spans="1:49" ht="13.5" customHeight="1">
      <c r="A34" s="59"/>
      <c r="B34" s="42"/>
      <c r="C34" s="132" t="s">
        <v>25</v>
      </c>
      <c r="D34" s="132"/>
      <c r="E34" s="132"/>
      <c r="F34" s="132"/>
      <c r="G34" s="132"/>
      <c r="H34" s="132"/>
      <c r="I34" s="132"/>
      <c r="J34" s="132"/>
      <c r="K34" s="132"/>
      <c r="L34" s="117" t="s">
        <v>26</v>
      </c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52"/>
    </row>
    <row r="35" spans="1:49" ht="13.5" customHeight="1">
      <c r="A35" s="59"/>
      <c r="B35" s="42"/>
      <c r="C35" s="132"/>
      <c r="D35" s="132"/>
      <c r="E35" s="132"/>
      <c r="F35" s="132"/>
      <c r="G35" s="132"/>
      <c r="H35" s="132"/>
      <c r="I35" s="132"/>
      <c r="J35" s="132"/>
      <c r="K35" s="132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52"/>
    </row>
    <row r="36" spans="1:49" ht="13.5" customHeight="1">
      <c r="A36" s="56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T36" s="52"/>
    </row>
    <row r="37" spans="1:49" ht="13.5" customHeight="1">
      <c r="A37" s="60"/>
      <c r="B37" s="44"/>
      <c r="C37" s="139" t="s">
        <v>27</v>
      </c>
      <c r="D37" s="139"/>
      <c r="E37" s="139"/>
      <c r="F37" s="139"/>
      <c r="G37" s="139"/>
      <c r="H37" s="139"/>
      <c r="I37" s="139"/>
      <c r="J37" s="139"/>
      <c r="K37" s="139"/>
      <c r="L37" s="125" t="s">
        <v>28</v>
      </c>
      <c r="M37" s="122"/>
      <c r="N37" s="122"/>
      <c r="O37" s="122"/>
      <c r="P37" s="122"/>
      <c r="Q37" s="122"/>
      <c r="R37" s="122"/>
      <c r="S37" s="181" t="s">
        <v>29</v>
      </c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25" t="s">
        <v>30</v>
      </c>
      <c r="AE37" s="134"/>
      <c r="AF37" s="134"/>
      <c r="AG37" s="134"/>
      <c r="AH37" s="134"/>
      <c r="AI37" s="134"/>
      <c r="AJ37" s="134"/>
      <c r="AK37" s="125" t="s">
        <v>31</v>
      </c>
      <c r="AL37" s="125"/>
      <c r="AM37" s="125"/>
      <c r="AN37" s="125"/>
      <c r="AO37" s="125"/>
      <c r="AP37" s="125"/>
      <c r="AQ37" s="125"/>
      <c r="AR37" s="125"/>
      <c r="AS37" s="125"/>
      <c r="AT37" s="52"/>
    </row>
    <row r="38" spans="1:49" ht="13.5" customHeight="1">
      <c r="A38" s="61"/>
      <c r="B38" s="45"/>
      <c r="C38" s="139"/>
      <c r="D38" s="139"/>
      <c r="E38" s="139"/>
      <c r="F38" s="139"/>
      <c r="G38" s="139"/>
      <c r="H38" s="139"/>
      <c r="I38" s="139"/>
      <c r="J38" s="139"/>
      <c r="K38" s="139"/>
      <c r="L38" s="122"/>
      <c r="M38" s="122"/>
      <c r="N38" s="122"/>
      <c r="O38" s="122"/>
      <c r="P38" s="122"/>
      <c r="Q38" s="122"/>
      <c r="R38" s="122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34"/>
      <c r="AE38" s="134"/>
      <c r="AF38" s="134"/>
      <c r="AG38" s="134"/>
      <c r="AH38" s="134"/>
      <c r="AI38" s="134"/>
      <c r="AJ38" s="134"/>
      <c r="AK38" s="125"/>
      <c r="AL38" s="125"/>
      <c r="AM38" s="125"/>
      <c r="AN38" s="125"/>
      <c r="AO38" s="125"/>
      <c r="AP38" s="125"/>
      <c r="AQ38" s="125"/>
      <c r="AR38" s="125"/>
      <c r="AS38" s="125"/>
      <c r="AT38" s="52"/>
    </row>
    <row r="39" spans="1:49" ht="13.5" customHeight="1">
      <c r="A39" s="61"/>
      <c r="B39" s="45"/>
      <c r="C39" s="139"/>
      <c r="D39" s="139"/>
      <c r="E39" s="139"/>
      <c r="F39" s="139"/>
      <c r="G39" s="139"/>
      <c r="H39" s="139"/>
      <c r="I39" s="139"/>
      <c r="J39" s="139"/>
      <c r="K39" s="139"/>
      <c r="L39" s="125" t="s">
        <v>32</v>
      </c>
      <c r="M39" s="134"/>
      <c r="N39" s="134"/>
      <c r="O39" s="134"/>
      <c r="P39" s="134"/>
      <c r="Q39" s="134"/>
      <c r="R39" s="134"/>
      <c r="S39" s="125" t="s">
        <v>33</v>
      </c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71"/>
      <c r="AE39" s="71"/>
      <c r="AF39" s="71"/>
      <c r="AT39" s="52"/>
    </row>
    <row r="40" spans="1:49" ht="13.5" customHeight="1">
      <c r="A40" s="61"/>
      <c r="B40" s="45"/>
      <c r="C40" s="45"/>
      <c r="D40" s="45"/>
      <c r="E40" s="45"/>
      <c r="F40" s="45"/>
      <c r="I40" s="43"/>
      <c r="J40" s="43"/>
      <c r="K40" s="43"/>
      <c r="L40" s="134"/>
      <c r="M40" s="134"/>
      <c r="N40" s="134"/>
      <c r="O40" s="134"/>
      <c r="P40" s="134"/>
      <c r="Q40" s="134"/>
      <c r="R40" s="134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71"/>
      <c r="AE40" s="71"/>
      <c r="AF40" s="71"/>
      <c r="AG40" s="100"/>
      <c r="AH40" s="100"/>
      <c r="AI40" s="100"/>
      <c r="AJ40" s="100"/>
      <c r="AK40" s="100"/>
      <c r="AL40" s="100"/>
      <c r="AM40" s="41"/>
      <c r="AN40" s="8"/>
      <c r="AO40" s="8"/>
      <c r="AP40" s="8"/>
      <c r="AQ40" s="8"/>
      <c r="AR40" s="8"/>
      <c r="AS40" s="8"/>
      <c r="AT40" s="52"/>
      <c r="AW40" s="100"/>
    </row>
    <row r="41" spans="1:49" ht="13.5" customHeight="1">
      <c r="A41" s="61"/>
      <c r="B41" s="45"/>
      <c r="C41" s="45"/>
      <c r="D41" s="45"/>
      <c r="E41" s="45"/>
      <c r="F41" s="45"/>
      <c r="I41" s="43"/>
      <c r="J41" s="43"/>
      <c r="K41" s="43"/>
      <c r="L41" s="122" t="s">
        <v>34</v>
      </c>
      <c r="M41" s="178"/>
      <c r="N41" s="178"/>
      <c r="O41" s="178"/>
      <c r="P41" s="178"/>
      <c r="Q41" s="178"/>
      <c r="R41" s="178"/>
      <c r="S41" s="125" t="s">
        <v>35</v>
      </c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71"/>
      <c r="AE41" s="71"/>
      <c r="AF41" s="71"/>
      <c r="AG41" s="100"/>
      <c r="AH41" s="100"/>
      <c r="AI41" s="100"/>
      <c r="AJ41" s="100"/>
      <c r="AK41" s="100"/>
      <c r="AL41" s="100"/>
      <c r="AM41" s="8"/>
      <c r="AN41" s="8"/>
      <c r="AO41" s="8"/>
      <c r="AP41" s="8"/>
      <c r="AQ41" s="8"/>
      <c r="AR41" s="8"/>
      <c r="AS41" s="8"/>
      <c r="AT41" s="52"/>
      <c r="AW41" s="100"/>
    </row>
    <row r="42" spans="1:49" ht="13.5" customHeight="1">
      <c r="A42" s="5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178"/>
      <c r="M42" s="178"/>
      <c r="N42" s="178"/>
      <c r="O42" s="178"/>
      <c r="P42" s="178"/>
      <c r="Q42" s="178"/>
      <c r="R42" s="178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71"/>
      <c r="AE42" s="71"/>
      <c r="AF42" s="71"/>
      <c r="AT42" s="52"/>
    </row>
    <row r="43" spans="1:49" ht="13.5" customHeight="1">
      <c r="A43" s="62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122" t="s">
        <v>36</v>
      </c>
      <c r="M43" s="178"/>
      <c r="N43" s="178"/>
      <c r="O43" s="178"/>
      <c r="P43" s="178"/>
      <c r="Q43" s="178"/>
      <c r="R43" s="178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71"/>
      <c r="AE43" s="71"/>
      <c r="AF43" s="71"/>
      <c r="AM43" s="41"/>
      <c r="AN43" s="41"/>
      <c r="AO43" s="41"/>
      <c r="AP43" s="41"/>
      <c r="AQ43" s="41"/>
      <c r="AR43" s="41"/>
      <c r="AS43" s="41"/>
      <c r="AT43" s="52"/>
    </row>
    <row r="44" spans="1:49" ht="13.5" customHeight="1">
      <c r="A44" s="62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178"/>
      <c r="M44" s="178"/>
      <c r="N44" s="178"/>
      <c r="O44" s="178"/>
      <c r="P44" s="178"/>
      <c r="Q44" s="178"/>
      <c r="R44" s="178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71"/>
      <c r="AE44" s="71"/>
      <c r="AF44" s="71"/>
      <c r="AM44" s="41"/>
      <c r="AN44" s="41"/>
      <c r="AO44" s="41"/>
      <c r="AP44" s="41"/>
      <c r="AQ44" s="41"/>
      <c r="AR44" s="41"/>
      <c r="AS44" s="41"/>
      <c r="AT44" s="52"/>
    </row>
    <row r="45" spans="1:49" ht="13.5" customHeight="1">
      <c r="A45" s="56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137" t="s">
        <v>37</v>
      </c>
      <c r="M45" s="138"/>
      <c r="N45" s="138"/>
      <c r="O45" s="138"/>
      <c r="P45" s="138"/>
      <c r="Q45" s="138"/>
      <c r="R45" s="138"/>
      <c r="S45" s="125" t="s">
        <v>38</v>
      </c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81"/>
      <c r="AH45" s="81"/>
      <c r="AI45" s="81"/>
      <c r="AJ45" s="81"/>
      <c r="AK45" s="81"/>
      <c r="AL45" s="81"/>
      <c r="AM45" s="14"/>
      <c r="AN45" s="14"/>
      <c r="AO45" s="14"/>
      <c r="AP45" s="14"/>
      <c r="AQ45" s="14"/>
      <c r="AR45" s="14"/>
      <c r="AS45" s="14"/>
      <c r="AT45" s="52"/>
    </row>
    <row r="46" spans="1:49" ht="13.5" customHeight="1">
      <c r="A46" s="63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138"/>
      <c r="M46" s="138"/>
      <c r="N46" s="138"/>
      <c r="O46" s="138"/>
      <c r="P46" s="138"/>
      <c r="Q46" s="138"/>
      <c r="R46" s="138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K46" s="14"/>
      <c r="AL46" s="14"/>
      <c r="AM46" s="14"/>
      <c r="AN46" s="14"/>
      <c r="AO46" s="14"/>
      <c r="AP46" s="14"/>
      <c r="AQ46" s="14"/>
      <c r="AT46" s="52"/>
    </row>
    <row r="47" spans="1:49" ht="13.5" customHeight="1">
      <c r="A47" s="56"/>
      <c r="B47" s="25"/>
      <c r="C47" s="81"/>
      <c r="D47" s="78"/>
      <c r="E47" s="78"/>
      <c r="F47" s="78"/>
      <c r="G47" s="78"/>
      <c r="H47" s="78"/>
      <c r="I47" s="78"/>
      <c r="J47" s="78"/>
      <c r="K47" s="78"/>
      <c r="L47" s="80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14"/>
      <c r="AB47" s="14"/>
      <c r="AK47" s="14"/>
      <c r="AL47" s="14"/>
      <c r="AM47" s="14"/>
      <c r="AN47" s="14"/>
      <c r="AO47" s="14"/>
      <c r="AP47" s="14"/>
      <c r="AQ47" s="14"/>
      <c r="AT47" s="52"/>
    </row>
    <row r="48" spans="1:49" ht="13.5" customHeight="1">
      <c r="A48" s="64"/>
      <c r="B48" s="16"/>
      <c r="C48" s="122" t="s">
        <v>39</v>
      </c>
      <c r="D48" s="178"/>
      <c r="E48" s="178"/>
      <c r="F48" s="178"/>
      <c r="G48" s="178"/>
      <c r="H48" s="178"/>
      <c r="I48" s="178"/>
      <c r="J48" s="178"/>
      <c r="K48" s="178"/>
      <c r="L48" s="125" t="s">
        <v>40</v>
      </c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K48" s="14"/>
      <c r="AL48" s="14"/>
      <c r="AM48" s="14"/>
      <c r="AN48" s="14"/>
      <c r="AO48" s="14"/>
      <c r="AP48" s="14"/>
      <c r="AQ48" s="14"/>
      <c r="AT48" s="52"/>
    </row>
    <row r="49" spans="1:46" ht="13.5" customHeight="1">
      <c r="A49" s="65"/>
      <c r="B49" s="23"/>
      <c r="C49" s="178"/>
      <c r="D49" s="178"/>
      <c r="E49" s="178"/>
      <c r="F49" s="178"/>
      <c r="G49" s="178"/>
      <c r="H49" s="178"/>
      <c r="I49" s="178"/>
      <c r="J49" s="178"/>
      <c r="K49" s="178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K49" s="14"/>
      <c r="AL49" s="14"/>
      <c r="AM49" s="14"/>
      <c r="AN49" s="14"/>
      <c r="AO49" s="14"/>
      <c r="AP49" s="14"/>
      <c r="AQ49" s="14"/>
      <c r="AT49" s="52"/>
    </row>
    <row r="50" spans="1:46" ht="13.5" customHeight="1">
      <c r="A50" s="64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4"/>
      <c r="AB50" s="14"/>
      <c r="AC50" s="14"/>
      <c r="AD50" s="14"/>
      <c r="AE50" s="14"/>
      <c r="AF50" s="14"/>
      <c r="AG50" s="14"/>
      <c r="AT50" s="52"/>
    </row>
    <row r="51" spans="1:46" ht="13.5" customHeight="1">
      <c r="A51" s="65"/>
      <c r="B51" s="23"/>
      <c r="C51" s="122" t="s">
        <v>41</v>
      </c>
      <c r="D51" s="122"/>
      <c r="E51" s="122"/>
      <c r="F51" s="122"/>
      <c r="G51" s="122"/>
      <c r="H51" s="122"/>
      <c r="I51" s="122"/>
      <c r="J51" s="122"/>
      <c r="K51" s="122"/>
      <c r="L51" s="125" t="s">
        <v>42</v>
      </c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T51" s="52"/>
    </row>
    <row r="52" spans="1:46" ht="13.5" customHeight="1">
      <c r="A52" s="65"/>
      <c r="B52" s="23"/>
      <c r="C52" s="122"/>
      <c r="D52" s="122"/>
      <c r="E52" s="122"/>
      <c r="F52" s="122"/>
      <c r="G52" s="122"/>
      <c r="H52" s="122"/>
      <c r="I52" s="122"/>
      <c r="J52" s="122"/>
      <c r="K52" s="122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T52" s="52"/>
    </row>
    <row r="53" spans="1:46" ht="13.5" customHeight="1">
      <c r="A53" s="65"/>
      <c r="B53" s="23"/>
      <c r="C53" s="78"/>
      <c r="D53" s="78"/>
      <c r="E53" s="78"/>
      <c r="F53" s="78"/>
      <c r="G53" s="78"/>
      <c r="H53" s="78"/>
      <c r="I53" s="78"/>
      <c r="J53" s="78"/>
      <c r="K53" s="78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14"/>
      <c r="AE53" s="14"/>
      <c r="AF53" s="14"/>
      <c r="AG53" s="14"/>
      <c r="AT53" s="52"/>
    </row>
    <row r="54" spans="1:46" ht="13.5" customHeight="1">
      <c r="A54" s="65"/>
      <c r="B54" s="23"/>
      <c r="C54" s="123" t="s">
        <v>43</v>
      </c>
      <c r="D54" s="124"/>
      <c r="E54" s="124"/>
      <c r="F54" s="124"/>
      <c r="G54" s="124"/>
      <c r="H54" s="124"/>
      <c r="I54" s="124"/>
      <c r="J54" s="124"/>
      <c r="K54" s="124"/>
      <c r="L54" s="125" t="s">
        <v>44</v>
      </c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52"/>
    </row>
    <row r="55" spans="1:46" ht="13.5" customHeight="1">
      <c r="A55" s="65"/>
      <c r="B55" s="23"/>
      <c r="C55" s="124"/>
      <c r="D55" s="124"/>
      <c r="E55" s="124"/>
      <c r="F55" s="124"/>
      <c r="G55" s="124"/>
      <c r="H55" s="124"/>
      <c r="I55" s="124"/>
      <c r="J55" s="124"/>
      <c r="K55" s="124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52"/>
    </row>
    <row r="56" spans="1:46" ht="13.5" customHeight="1">
      <c r="A56" s="65"/>
      <c r="B56" s="23"/>
      <c r="C56" s="23"/>
      <c r="D56" s="23"/>
      <c r="E56" s="23"/>
      <c r="F56" s="23"/>
      <c r="G56" s="23"/>
      <c r="H56" s="14"/>
      <c r="I56" s="14"/>
      <c r="J56" s="14"/>
      <c r="K56" s="14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14"/>
      <c r="AC56" s="14"/>
      <c r="AD56" s="14"/>
      <c r="AE56" s="14"/>
      <c r="AF56" s="14"/>
      <c r="AG56" s="14"/>
      <c r="AT56" s="52"/>
    </row>
    <row r="57" spans="1:46" ht="13.5" customHeight="1">
      <c r="A57" s="65"/>
      <c r="B57" s="23"/>
      <c r="C57" s="122" t="s">
        <v>45</v>
      </c>
      <c r="D57" s="122"/>
      <c r="E57" s="122"/>
      <c r="F57" s="122"/>
      <c r="G57" s="122"/>
      <c r="H57" s="122"/>
      <c r="I57" s="122"/>
      <c r="J57" s="122"/>
      <c r="K57" s="122"/>
      <c r="L57" s="125" t="s">
        <v>46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4"/>
      <c r="AC57" s="14"/>
      <c r="AD57" s="14"/>
      <c r="AE57" s="14"/>
      <c r="AF57" s="14"/>
      <c r="AG57" s="14"/>
      <c r="AT57" s="52"/>
    </row>
    <row r="58" spans="1:46" ht="13.5" customHeight="1">
      <c r="A58" s="65"/>
      <c r="B58" s="23"/>
      <c r="C58" s="122"/>
      <c r="D58" s="122"/>
      <c r="E58" s="122"/>
      <c r="F58" s="122"/>
      <c r="G58" s="122"/>
      <c r="H58" s="122"/>
      <c r="I58" s="122"/>
      <c r="J58" s="122"/>
      <c r="K58" s="122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4"/>
      <c r="AC58" s="14"/>
      <c r="AD58" s="14"/>
      <c r="AE58" s="14"/>
      <c r="AF58" s="14"/>
      <c r="AG58" s="14"/>
      <c r="AT58" s="52"/>
    </row>
    <row r="59" spans="1:46" ht="13.5" customHeight="1">
      <c r="A59" s="65"/>
      <c r="B59" s="23"/>
      <c r="C59" s="78"/>
      <c r="D59" s="78"/>
      <c r="E59" s="78"/>
      <c r="F59" s="78"/>
      <c r="G59" s="78"/>
      <c r="H59" s="78"/>
      <c r="I59" s="78"/>
      <c r="J59" s="78"/>
      <c r="K59" s="78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14"/>
      <c r="AC59" s="14"/>
      <c r="AD59" s="14"/>
      <c r="AE59" s="14"/>
      <c r="AF59" s="14"/>
      <c r="AG59" s="14"/>
      <c r="AT59" s="52"/>
    </row>
    <row r="60" spans="1:46" ht="13.5" customHeight="1">
      <c r="A60" s="65"/>
      <c r="B60" s="23"/>
      <c r="C60" s="122" t="s">
        <v>47</v>
      </c>
      <c r="D60" s="122"/>
      <c r="E60" s="122"/>
      <c r="F60" s="122"/>
      <c r="G60" s="122"/>
      <c r="H60" s="122"/>
      <c r="I60" s="122"/>
      <c r="J60" s="122"/>
      <c r="K60" s="122"/>
      <c r="L60" s="125" t="s">
        <v>48</v>
      </c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52"/>
    </row>
    <row r="61" spans="1:46" ht="13.5" customHeight="1">
      <c r="A61" s="65"/>
      <c r="B61" s="23"/>
      <c r="C61" s="122"/>
      <c r="D61" s="122"/>
      <c r="E61" s="122"/>
      <c r="F61" s="122"/>
      <c r="G61" s="122"/>
      <c r="H61" s="122"/>
      <c r="I61" s="122"/>
      <c r="J61" s="122"/>
      <c r="K61" s="122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52"/>
    </row>
    <row r="62" spans="1:46" ht="13.5" customHeight="1">
      <c r="A62" s="65"/>
      <c r="B62" s="23"/>
      <c r="C62" s="122"/>
      <c r="D62" s="122"/>
      <c r="E62" s="122"/>
      <c r="F62" s="122"/>
      <c r="G62" s="122"/>
      <c r="H62" s="122"/>
      <c r="I62" s="122"/>
      <c r="J62" s="122"/>
      <c r="K62" s="122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52"/>
    </row>
    <row r="63" spans="1:46" ht="13.5" customHeight="1">
      <c r="A63" s="65"/>
      <c r="B63" s="23"/>
      <c r="C63" s="78"/>
      <c r="D63" s="78"/>
      <c r="E63" s="78"/>
      <c r="F63" s="78"/>
      <c r="G63" s="78"/>
      <c r="H63" s="78"/>
      <c r="I63" s="78"/>
      <c r="J63" s="78"/>
      <c r="K63" s="78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52"/>
    </row>
    <row r="64" spans="1:46" ht="13.5" customHeight="1">
      <c r="A64" s="65"/>
      <c r="C64" s="78"/>
      <c r="D64" s="78"/>
      <c r="E64" s="78"/>
      <c r="F64" s="78"/>
      <c r="G64" s="78"/>
      <c r="H64" s="78"/>
      <c r="I64" s="78"/>
      <c r="J64" s="78"/>
      <c r="K64" s="78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T64" s="52"/>
    </row>
    <row r="65" spans="1:46" ht="13.5" customHeight="1">
      <c r="A65" s="65"/>
      <c r="C65" s="94"/>
      <c r="D65" s="81"/>
      <c r="E65" s="81"/>
      <c r="F65" s="81"/>
      <c r="G65" s="81"/>
      <c r="H65" s="81"/>
      <c r="I65" s="81"/>
      <c r="J65" s="81"/>
      <c r="K65" s="81"/>
      <c r="L65" s="122" t="s">
        <v>49</v>
      </c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52"/>
    </row>
    <row r="66" spans="1:46" ht="13.5" customHeight="1">
      <c r="A66" s="55"/>
      <c r="C66" s="81"/>
      <c r="D66" s="81"/>
      <c r="E66" s="81"/>
      <c r="F66" s="81"/>
      <c r="G66" s="81"/>
      <c r="H66" s="81"/>
      <c r="I66" s="81"/>
      <c r="J66" s="81"/>
      <c r="K66" s="81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52"/>
    </row>
    <row r="67" spans="1:46" ht="13.5" customHeight="1">
      <c r="A67" s="55"/>
      <c r="C67" s="81"/>
      <c r="D67" s="81"/>
      <c r="E67" s="81"/>
      <c r="F67" s="81"/>
      <c r="G67" s="81"/>
      <c r="H67" s="81"/>
      <c r="I67" s="81"/>
      <c r="J67" s="81"/>
      <c r="K67" s="81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52"/>
    </row>
    <row r="68" spans="1:46" ht="13.5" customHeight="1" thickBot="1">
      <c r="A68" s="55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48"/>
      <c r="AI68" s="48"/>
      <c r="AJ68" s="48"/>
      <c r="AK68" s="48"/>
      <c r="AL68" s="48"/>
      <c r="AM68" s="48"/>
      <c r="AN68" s="48"/>
      <c r="AO68" s="48"/>
      <c r="AT68" s="52"/>
    </row>
    <row r="69" spans="1:46" ht="13.5" customHeight="1">
      <c r="A69" s="55"/>
      <c r="X69" s="8"/>
      <c r="Y69" s="8"/>
      <c r="Z69" s="8"/>
      <c r="AA69" s="8"/>
      <c r="AB69" s="8"/>
      <c r="AC69" s="8"/>
      <c r="AD69" s="8"/>
      <c r="AE69" s="8"/>
      <c r="AF69" s="8"/>
      <c r="AG69" s="8"/>
      <c r="AT69" s="52"/>
    </row>
    <row r="70" spans="1:46" ht="13.5" customHeight="1">
      <c r="A70" s="55"/>
      <c r="X70" s="8"/>
      <c r="Y70" s="8"/>
      <c r="Z70" s="8"/>
      <c r="AA70" s="8"/>
      <c r="AB70" s="8"/>
      <c r="AC70" s="8"/>
      <c r="AD70" s="8"/>
      <c r="AE70" s="1"/>
      <c r="AF70" s="2"/>
      <c r="AG70" s="174" t="s">
        <v>50</v>
      </c>
      <c r="AH70" s="175"/>
      <c r="AI70" s="175"/>
      <c r="AJ70" s="175"/>
      <c r="AK70" s="175"/>
      <c r="AL70" s="175"/>
      <c r="AM70" s="175"/>
      <c r="AN70" s="175"/>
      <c r="AO70" s="2"/>
      <c r="AP70" s="3"/>
      <c r="AT70" s="52"/>
    </row>
    <row r="71" spans="1:46" ht="13.5" customHeight="1">
      <c r="A71" s="65"/>
      <c r="C71" s="7"/>
      <c r="D71" s="7"/>
      <c r="E71" s="7"/>
      <c r="F71" s="7"/>
      <c r="G71" s="7"/>
      <c r="H71" s="7"/>
      <c r="I71" s="7"/>
      <c r="J71" s="7"/>
      <c r="AE71" s="5"/>
      <c r="AP71" s="6"/>
      <c r="AT71" s="52"/>
    </row>
    <row r="72" spans="1:46" ht="16.5" customHeight="1">
      <c r="A72" s="66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AT72" s="52"/>
    </row>
    <row r="73" spans="1:46" ht="13.5" customHeight="1">
      <c r="A73" s="66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AE73" s="5"/>
      <c r="AP73" s="6"/>
      <c r="AT73" s="52"/>
    </row>
    <row r="74" spans="1:46" ht="13.5" customHeight="1">
      <c r="A74" s="66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AE74" s="9"/>
      <c r="AF74" s="10"/>
      <c r="AG74" s="176" t="s">
        <v>51</v>
      </c>
      <c r="AH74" s="177"/>
      <c r="AI74" s="177"/>
      <c r="AJ74" s="177"/>
      <c r="AK74" s="177"/>
      <c r="AL74" s="177"/>
      <c r="AM74" s="177"/>
      <c r="AN74" s="177"/>
      <c r="AO74" s="10"/>
      <c r="AP74" s="11"/>
      <c r="AT74" s="52"/>
    </row>
    <row r="75" spans="1:46" ht="13.5" customHeight="1" thickBot="1">
      <c r="A75" s="67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68"/>
    </row>
    <row r="76" spans="1:46" ht="13.5" customHeight="1"/>
    <row r="77" spans="1:46" ht="13.5" customHeight="1"/>
    <row r="78" spans="1:46" ht="13.5" customHeight="1"/>
    <row r="79" spans="1:46" ht="13.5" customHeight="1">
      <c r="A79" s="20"/>
    </row>
    <row r="80" spans="1:46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1:33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ht="13.5" customHeight="1">
      <c r="K83" s="21"/>
      <c r="AD83" s="145"/>
      <c r="AE83" s="145"/>
      <c r="AF83" s="145"/>
      <c r="AG83" s="145"/>
    </row>
    <row r="84" spans="1:33" ht="13.5" customHeight="1">
      <c r="A84" s="22"/>
    </row>
    <row r="85" spans="1:33" ht="13.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4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146"/>
      <c r="AG85" s="146"/>
    </row>
    <row r="86" spans="1:33" ht="13.5" customHeight="1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8"/>
      <c r="Z86" s="148"/>
      <c r="AA86" s="148"/>
      <c r="AB86" s="148"/>
      <c r="AC86" s="148"/>
      <c r="AD86" s="8"/>
      <c r="AE86" s="8"/>
      <c r="AF86" s="8"/>
      <c r="AG86" s="8"/>
    </row>
    <row r="87" spans="1:33" ht="13.5" customHeight="1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</row>
    <row r="88" spans="1:33" ht="13.5" customHeight="1"/>
    <row r="89" spans="1:33" ht="13.5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</row>
    <row r="90" spans="1:33" ht="13.5" customHeight="1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</row>
    <row r="91" spans="1:33" ht="13.5" customHeight="1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</row>
    <row r="92" spans="1:33" ht="13.5" customHeight="1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</row>
    <row r="93" spans="1:33" ht="13.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50"/>
      <c r="S93" s="150"/>
      <c r="T93" s="150"/>
      <c r="U93" s="150"/>
      <c r="V93" s="150"/>
      <c r="W93" s="150"/>
      <c r="X93" s="150"/>
      <c r="Y93" s="150"/>
      <c r="Z93" s="150"/>
      <c r="AA93" s="150"/>
      <c r="AB93" s="150"/>
      <c r="AC93" s="150"/>
      <c r="AD93" s="150"/>
      <c r="AE93" s="150"/>
      <c r="AF93" s="150"/>
      <c r="AG93" s="150"/>
    </row>
    <row r="94" spans="1:33" ht="13.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50"/>
      <c r="S94" s="150"/>
      <c r="T94" s="150"/>
      <c r="U94" s="150"/>
      <c r="V94" s="150"/>
      <c r="W94" s="150"/>
      <c r="X94" s="150"/>
      <c r="Y94" s="150"/>
      <c r="Z94" s="150"/>
      <c r="AA94" s="150"/>
      <c r="AB94" s="150"/>
      <c r="AC94" s="150"/>
      <c r="AD94" s="150"/>
      <c r="AE94" s="150"/>
      <c r="AF94" s="150"/>
      <c r="AG94" s="150"/>
    </row>
    <row r="95" spans="1:33" ht="13.5" customHeight="1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25"/>
      <c r="S95" s="7"/>
      <c r="T95" s="7"/>
      <c r="U95" s="7"/>
      <c r="V95" s="7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</row>
    <row r="96" spans="1:33" ht="13.5" customHeight="1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49"/>
      <c r="Z96" s="149"/>
      <c r="AA96" s="149"/>
      <c r="AB96" s="149"/>
      <c r="AC96" s="149"/>
      <c r="AD96" s="149"/>
      <c r="AE96" s="149"/>
      <c r="AF96" s="149"/>
      <c r="AG96" s="149"/>
    </row>
    <row r="97" spans="1:33" ht="13.5" customHeight="1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25"/>
      <c r="S97" s="7"/>
      <c r="T97" s="7"/>
      <c r="U97" s="7"/>
      <c r="V97" s="7"/>
      <c r="W97" s="7"/>
      <c r="X97" s="7"/>
      <c r="Y97" s="149"/>
      <c r="Z97" s="149"/>
      <c r="AA97" s="149"/>
      <c r="AB97" s="149"/>
      <c r="AC97" s="149"/>
      <c r="AD97" s="149"/>
      <c r="AE97" s="149"/>
      <c r="AF97" s="149"/>
      <c r="AG97" s="149"/>
    </row>
    <row r="98" spans="1:33" ht="13.5" customHeight="1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4"/>
      <c r="S98" s="154"/>
      <c r="T98" s="154"/>
      <c r="U98" s="154"/>
      <c r="V98" s="154"/>
      <c r="W98" s="154"/>
      <c r="X98" s="154"/>
      <c r="Y98" s="117"/>
      <c r="Z98" s="117"/>
      <c r="AA98" s="117"/>
      <c r="AB98" s="117"/>
      <c r="AC98" s="117"/>
      <c r="AD98" s="117"/>
      <c r="AE98" s="117"/>
      <c r="AF98" s="117"/>
      <c r="AG98" s="117"/>
    </row>
    <row r="99" spans="1:33" ht="13.5" customHeight="1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26"/>
      <c r="S99" s="26"/>
      <c r="T99" s="26"/>
      <c r="U99" s="26"/>
      <c r="V99" s="26"/>
      <c r="W99" s="26"/>
      <c r="X99" s="26"/>
      <c r="Y99" s="14"/>
      <c r="Z99" s="14"/>
      <c r="AA99" s="14"/>
      <c r="AB99" s="14"/>
      <c r="AC99" s="14"/>
      <c r="AD99" s="14"/>
      <c r="AE99" s="14"/>
      <c r="AF99" s="14"/>
      <c r="AG99" s="14"/>
    </row>
    <row r="100" spans="1:33" ht="13.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25"/>
      <c r="S100" s="7"/>
      <c r="T100" s="7"/>
      <c r="U100" s="7"/>
      <c r="V100" s="7"/>
      <c r="W100" s="7"/>
      <c r="Z100" s="142"/>
      <c r="AA100" s="142"/>
      <c r="AB100" s="142"/>
      <c r="AC100" s="142"/>
      <c r="AD100" s="142"/>
      <c r="AE100" s="142"/>
      <c r="AF100" s="142"/>
      <c r="AG100" s="142"/>
    </row>
    <row r="101" spans="1:33" ht="13.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</row>
    <row r="102" spans="1:33" ht="13.5" customHeight="1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2"/>
      <c r="L102" s="152"/>
      <c r="M102" s="152"/>
      <c r="N102" s="152"/>
      <c r="O102" s="152"/>
      <c r="P102" s="152"/>
      <c r="Q102" s="152"/>
      <c r="R102" s="25"/>
      <c r="W102" s="131"/>
      <c r="X102" s="131"/>
      <c r="Y102" s="131"/>
      <c r="Z102" s="131"/>
      <c r="AA102" s="131"/>
      <c r="AB102" s="131"/>
      <c r="AC102" s="131"/>
    </row>
    <row r="103" spans="1:33" ht="13.5" customHeight="1">
      <c r="A103" s="151"/>
      <c r="B103" s="151"/>
      <c r="C103" s="151"/>
      <c r="D103" s="151"/>
      <c r="E103" s="151"/>
      <c r="F103" s="151"/>
      <c r="G103" s="151"/>
      <c r="H103" s="151"/>
      <c r="I103" s="152"/>
      <c r="J103" s="152"/>
      <c r="K103" s="152"/>
      <c r="L103" s="152"/>
      <c r="M103" s="152"/>
      <c r="N103" s="152"/>
      <c r="O103" s="152"/>
      <c r="P103" s="152"/>
      <c r="Q103" s="152"/>
      <c r="R103" s="25"/>
      <c r="W103" s="12"/>
      <c r="X103" s="12"/>
      <c r="Y103" s="12"/>
      <c r="Z103" s="12"/>
      <c r="AA103" s="12"/>
      <c r="AB103" s="12"/>
      <c r="AC103" s="12"/>
    </row>
    <row r="104" spans="1:33" ht="13.5" customHeight="1">
      <c r="A104" s="151"/>
      <c r="B104" s="151"/>
      <c r="C104" s="151"/>
      <c r="D104" s="151"/>
      <c r="E104" s="151"/>
      <c r="F104" s="151"/>
      <c r="G104" s="151"/>
      <c r="H104" s="151"/>
      <c r="I104" s="152"/>
      <c r="J104" s="152"/>
      <c r="K104" s="152"/>
      <c r="L104" s="152"/>
      <c r="M104" s="152"/>
      <c r="N104" s="152"/>
      <c r="O104" s="152"/>
      <c r="P104" s="152"/>
      <c r="Q104" s="152"/>
      <c r="R104" s="25"/>
      <c r="W104" s="131"/>
      <c r="X104" s="131"/>
      <c r="Y104" s="131"/>
      <c r="Z104" s="131"/>
      <c r="AA104" s="131"/>
      <c r="AB104" s="131"/>
      <c r="AC104" s="131"/>
    </row>
    <row r="105" spans="1:33" ht="13.5" customHeight="1">
      <c r="A105" s="151"/>
      <c r="B105" s="151"/>
      <c r="C105" s="151"/>
      <c r="D105" s="151"/>
      <c r="E105" s="151"/>
      <c r="F105" s="151"/>
      <c r="G105" s="151"/>
      <c r="H105" s="151"/>
      <c r="I105" s="152"/>
      <c r="J105" s="152"/>
      <c r="K105" s="152"/>
      <c r="L105" s="152"/>
      <c r="M105" s="152"/>
      <c r="N105" s="152"/>
      <c r="O105" s="152"/>
      <c r="P105" s="152"/>
      <c r="Q105" s="152"/>
      <c r="R105" s="25"/>
      <c r="W105" s="12"/>
      <c r="X105" s="12"/>
      <c r="Y105" s="12"/>
      <c r="Z105" s="12"/>
      <c r="AA105" s="12"/>
      <c r="AB105" s="12"/>
      <c r="AC105" s="12"/>
    </row>
    <row r="106" spans="1:33" ht="13.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55"/>
      <c r="X106" s="155"/>
      <c r="Y106" s="155"/>
      <c r="Z106" s="155"/>
      <c r="AA106" s="155"/>
      <c r="AB106" s="155"/>
      <c r="AC106" s="155"/>
      <c r="AD106" s="155"/>
      <c r="AE106" s="155"/>
      <c r="AF106" s="155"/>
      <c r="AG106" s="155"/>
    </row>
    <row r="107" spans="1:33" ht="13.5" customHeight="1">
      <c r="A107" s="156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25"/>
      <c r="W107" s="155"/>
      <c r="X107" s="155"/>
      <c r="Y107" s="155"/>
      <c r="Z107" s="155"/>
      <c r="AA107" s="155"/>
      <c r="AB107" s="155"/>
      <c r="AC107" s="155"/>
      <c r="AD107" s="155"/>
      <c r="AE107" s="155"/>
      <c r="AF107" s="155"/>
      <c r="AG107" s="155"/>
    </row>
    <row r="108" spans="1:33" ht="13.5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43"/>
      <c r="S108" s="143"/>
      <c r="T108" s="143"/>
      <c r="U108" s="143"/>
      <c r="V108" s="143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</row>
    <row r="109" spans="1:33" ht="13.5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43"/>
      <c r="S109" s="143"/>
      <c r="T109" s="143"/>
      <c r="U109" s="143"/>
      <c r="V109" s="143"/>
      <c r="W109" s="13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 ht="13.5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</row>
    <row r="111" spans="1:33" ht="13.5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</row>
    <row r="112" spans="1:33" ht="13.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25"/>
    </row>
    <row r="113" spans="1:33" ht="13.5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56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</row>
    <row r="114" spans="1:33" ht="13.5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</row>
    <row r="115" spans="1:33" ht="13.5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25"/>
      <c r="S115" s="7"/>
      <c r="AA115" s="142"/>
      <c r="AB115" s="142"/>
      <c r="AC115" s="142"/>
      <c r="AD115" s="142"/>
      <c r="AE115" s="142"/>
      <c r="AF115" s="142"/>
      <c r="AG115" s="142"/>
    </row>
    <row r="116" spans="1:33" ht="13.5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25"/>
      <c r="S116" s="7"/>
      <c r="X116" s="163"/>
      <c r="Y116" s="142"/>
      <c r="Z116" s="142"/>
      <c r="AA116" s="142"/>
      <c r="AB116" s="142"/>
      <c r="AC116" s="142"/>
      <c r="AD116" s="142"/>
      <c r="AE116" s="142"/>
      <c r="AF116" s="142"/>
      <c r="AG116" s="142"/>
    </row>
    <row r="117" spans="1:33" ht="13.5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</row>
    <row r="118" spans="1:33" ht="13.5" customHeight="1">
      <c r="A118" s="17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</row>
    <row r="119" spans="1:33" ht="13.5" customHeight="1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</row>
    <row r="120" spans="1:33" ht="13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57"/>
      <c r="AB120" s="157"/>
      <c r="AC120" s="157"/>
      <c r="AD120" s="157"/>
      <c r="AE120" s="157"/>
      <c r="AF120" s="157"/>
      <c r="AG120" s="157"/>
    </row>
    <row r="121" spans="1:33" ht="13.5" customHeight="1">
      <c r="A121" s="160"/>
      <c r="B121" s="160"/>
      <c r="C121" s="160"/>
      <c r="D121" s="160"/>
      <c r="E121" s="160"/>
      <c r="F121" s="160"/>
      <c r="G121" s="160"/>
      <c r="H121" s="16"/>
      <c r="I121" s="15"/>
      <c r="J121" s="15"/>
      <c r="K121" s="161"/>
      <c r="L121" s="161"/>
      <c r="M121" s="161"/>
      <c r="N121" s="161"/>
      <c r="O121" s="161"/>
      <c r="P121" s="161"/>
      <c r="Q121" s="161"/>
      <c r="R121" s="161"/>
      <c r="S121" s="161"/>
      <c r="T121" s="159"/>
      <c r="U121" s="159"/>
      <c r="V121" s="159"/>
      <c r="W121" s="159"/>
      <c r="X121" s="159"/>
      <c r="Y121" s="159"/>
      <c r="Z121" s="159"/>
      <c r="AA121" s="157"/>
      <c r="AB121" s="157"/>
      <c r="AC121" s="157"/>
      <c r="AD121" s="157"/>
      <c r="AE121" s="157"/>
      <c r="AF121" s="157"/>
      <c r="AG121" s="157"/>
    </row>
    <row r="122" spans="1:33" ht="13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57"/>
      <c r="AB122" s="157"/>
      <c r="AC122" s="157"/>
      <c r="AD122" s="157"/>
      <c r="AE122" s="157"/>
      <c r="AF122" s="157"/>
      <c r="AG122" s="157"/>
    </row>
    <row r="123" spans="1:33" ht="13.5" customHeight="1">
      <c r="A123" s="160"/>
      <c r="B123" s="160"/>
      <c r="C123" s="160"/>
      <c r="D123" s="160"/>
      <c r="E123" s="160"/>
      <c r="F123" s="160"/>
      <c r="G123" s="160"/>
      <c r="H123" s="23"/>
      <c r="I123" s="17"/>
      <c r="J123" s="17"/>
      <c r="K123" s="161"/>
      <c r="L123" s="161"/>
      <c r="M123" s="161"/>
      <c r="N123" s="161"/>
      <c r="O123" s="161"/>
      <c r="P123" s="161"/>
      <c r="Q123" s="161"/>
      <c r="R123" s="161"/>
      <c r="S123" s="161"/>
      <c r="T123" s="160"/>
      <c r="U123" s="160"/>
      <c r="V123" s="160"/>
      <c r="W123" s="160"/>
      <c r="X123" s="160"/>
      <c r="Y123" s="160"/>
      <c r="Z123" s="160"/>
      <c r="AA123" s="157"/>
      <c r="AB123" s="157"/>
      <c r="AC123" s="157"/>
      <c r="AD123" s="157"/>
      <c r="AE123" s="157"/>
      <c r="AF123" s="157"/>
      <c r="AG123" s="157"/>
    </row>
    <row r="124" spans="1:33" ht="13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157"/>
      <c r="AB124" s="157"/>
      <c r="AC124" s="157"/>
      <c r="AD124" s="157"/>
      <c r="AE124" s="157"/>
      <c r="AF124" s="157"/>
      <c r="AG124" s="157"/>
    </row>
    <row r="125" spans="1:33">
      <c r="A125" s="160"/>
      <c r="B125" s="160"/>
      <c r="C125" s="160"/>
      <c r="D125" s="160"/>
      <c r="E125" s="160"/>
      <c r="F125" s="160"/>
      <c r="G125" s="160"/>
      <c r="H125" s="157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2"/>
      <c r="U125" s="160"/>
      <c r="V125" s="160"/>
      <c r="W125" s="160"/>
      <c r="X125" s="160"/>
      <c r="Y125" s="160"/>
      <c r="Z125" s="160"/>
      <c r="AA125" s="157"/>
      <c r="AB125" s="157"/>
      <c r="AC125" s="157"/>
      <c r="AD125" s="157"/>
      <c r="AE125" s="157"/>
      <c r="AF125" s="157"/>
      <c r="AG125" s="157"/>
    </row>
    <row r="126" spans="1:33">
      <c r="A126" s="160"/>
      <c r="B126" s="160"/>
      <c r="C126" s="160"/>
      <c r="D126" s="160"/>
      <c r="E126" s="160"/>
      <c r="F126" s="160"/>
      <c r="G126" s="160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60"/>
      <c r="U126" s="160"/>
      <c r="V126" s="160"/>
      <c r="W126" s="160"/>
      <c r="X126" s="160"/>
      <c r="Y126" s="160"/>
      <c r="Z126" s="160"/>
      <c r="AA126" s="157"/>
      <c r="AB126" s="157"/>
      <c r="AC126" s="157"/>
      <c r="AD126" s="157"/>
      <c r="AE126" s="157"/>
      <c r="AF126" s="157"/>
      <c r="AG126" s="157"/>
    </row>
    <row r="127" spans="1:33">
      <c r="A127" s="160"/>
      <c r="B127" s="160"/>
      <c r="C127" s="160"/>
      <c r="D127" s="160"/>
      <c r="E127" s="160"/>
      <c r="F127" s="160"/>
      <c r="G127" s="160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60"/>
      <c r="U127" s="160"/>
      <c r="V127" s="160"/>
      <c r="W127" s="160"/>
      <c r="X127" s="160"/>
      <c r="Y127" s="160"/>
      <c r="Z127" s="160"/>
      <c r="AA127" s="157"/>
      <c r="AB127" s="157"/>
      <c r="AC127" s="157"/>
      <c r="AD127" s="157"/>
      <c r="AE127" s="157"/>
      <c r="AF127" s="157"/>
      <c r="AG127" s="157"/>
    </row>
    <row r="128" spans="1:33">
      <c r="A128" s="160"/>
      <c r="B128" s="160"/>
      <c r="C128" s="160"/>
      <c r="D128" s="160"/>
      <c r="E128" s="160"/>
      <c r="F128" s="160"/>
      <c r="G128" s="160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60"/>
      <c r="U128" s="160"/>
      <c r="V128" s="160"/>
      <c r="W128" s="160"/>
      <c r="X128" s="160"/>
      <c r="Y128" s="160"/>
      <c r="Z128" s="160"/>
      <c r="AA128" s="157"/>
      <c r="AB128" s="157"/>
      <c r="AC128" s="157"/>
      <c r="AD128" s="157"/>
      <c r="AE128" s="157"/>
      <c r="AF128" s="157"/>
      <c r="AG128" s="157"/>
    </row>
    <row r="129" spans="1:33">
      <c r="A129" s="160"/>
      <c r="B129" s="160"/>
      <c r="C129" s="160"/>
      <c r="D129" s="160"/>
      <c r="E129" s="160"/>
      <c r="F129" s="160"/>
      <c r="G129" s="160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60"/>
      <c r="U129" s="160"/>
      <c r="V129" s="160"/>
      <c r="W129" s="160"/>
      <c r="X129" s="160"/>
      <c r="Y129" s="160"/>
      <c r="Z129" s="160"/>
      <c r="AA129" s="157"/>
      <c r="AB129" s="157"/>
      <c r="AC129" s="157"/>
      <c r="AD129" s="157"/>
      <c r="AE129" s="157"/>
      <c r="AF129" s="157"/>
      <c r="AG129" s="157"/>
    </row>
    <row r="130" spans="1:33">
      <c r="A130" s="160"/>
      <c r="B130" s="160"/>
      <c r="C130" s="160"/>
      <c r="D130" s="160"/>
      <c r="E130" s="160"/>
      <c r="F130" s="160"/>
      <c r="G130" s="160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60"/>
      <c r="U130" s="160"/>
      <c r="V130" s="160"/>
      <c r="W130" s="160"/>
      <c r="X130" s="160"/>
      <c r="Y130" s="160"/>
      <c r="Z130" s="160"/>
      <c r="AA130" s="157"/>
      <c r="AB130" s="157"/>
      <c r="AC130" s="157"/>
      <c r="AD130" s="157"/>
      <c r="AE130" s="157"/>
      <c r="AF130" s="157"/>
      <c r="AG130" s="157"/>
    </row>
    <row r="131" spans="1:33">
      <c r="A131" s="23"/>
    </row>
    <row r="132" spans="1:33">
      <c r="A132" s="23"/>
    </row>
    <row r="137" spans="1:33">
      <c r="X137" s="131"/>
      <c r="Y137" s="131"/>
      <c r="Z137" s="131"/>
      <c r="AA137" s="131"/>
      <c r="AB137" s="131"/>
      <c r="AC137" s="131"/>
      <c r="AD137" s="131"/>
      <c r="AE137" s="131"/>
      <c r="AF137" s="131"/>
      <c r="AG137" s="131"/>
    </row>
    <row r="139" spans="1:33">
      <c r="A139" s="23"/>
      <c r="C139" s="7"/>
      <c r="D139" s="7"/>
      <c r="E139" s="7"/>
      <c r="F139" s="7"/>
      <c r="G139" s="7"/>
      <c r="H139" s="7"/>
      <c r="I139" s="7"/>
      <c r="J139" s="7"/>
    </row>
    <row r="140" spans="1:33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</row>
    <row r="141" spans="1:3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</row>
    <row r="142" spans="1:3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</row>
    <row r="143" spans="1:3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</row>
    <row r="144" spans="1:3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</row>
    <row r="145" spans="1:14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</row>
  </sheetData>
  <sheetProtection formatCells="0" formatColumns="0" formatRows="0" insertColumns="0" insertRows="0" insertHyperlinks="0" deleteColumns="0" deleteRows="0" sort="0" autoFilter="0" pivotTables="0"/>
  <mergeCells count="147">
    <mergeCell ref="AG70:AN70"/>
    <mergeCell ref="AG74:AN74"/>
    <mergeCell ref="C28:K29"/>
    <mergeCell ref="C24:K25"/>
    <mergeCell ref="L24:AS24"/>
    <mergeCell ref="L27:AS27"/>
    <mergeCell ref="C26:K27"/>
    <mergeCell ref="L26:AS26"/>
    <mergeCell ref="L51:AO52"/>
    <mergeCell ref="L37:R38"/>
    <mergeCell ref="L39:R40"/>
    <mergeCell ref="L41:R42"/>
    <mergeCell ref="L43:R44"/>
    <mergeCell ref="AD37:AJ38"/>
    <mergeCell ref="L65:AS67"/>
    <mergeCell ref="L57:AA58"/>
    <mergeCell ref="C57:K58"/>
    <mergeCell ref="C60:K62"/>
    <mergeCell ref="L60:AS63"/>
    <mergeCell ref="AD28:AN29"/>
    <mergeCell ref="L48:AF49"/>
    <mergeCell ref="C48:K49"/>
    <mergeCell ref="S37:AC38"/>
    <mergeCell ref="S39:AC40"/>
    <mergeCell ref="X137:AG137"/>
    <mergeCell ref="A1:AT7"/>
    <mergeCell ref="T128:Z128"/>
    <mergeCell ref="A129:G129"/>
    <mergeCell ref="H129:S130"/>
    <mergeCell ref="T129:Z129"/>
    <mergeCell ref="AA129:AG130"/>
    <mergeCell ref="A130:G130"/>
    <mergeCell ref="T130:Z130"/>
    <mergeCell ref="A125:G125"/>
    <mergeCell ref="H125:S126"/>
    <mergeCell ref="T125:Z126"/>
    <mergeCell ref="AA125:AG126"/>
    <mergeCell ref="A126:G126"/>
    <mergeCell ref="A127:G127"/>
    <mergeCell ref="H127:S128"/>
    <mergeCell ref="T127:Z127"/>
    <mergeCell ref="AA127:AG128"/>
    <mergeCell ref="A128:G128"/>
    <mergeCell ref="A118:AG118"/>
    <mergeCell ref="A119:AG119"/>
    <mergeCell ref="AA120:AG124"/>
    <mergeCell ref="A121:G121"/>
    <mergeCell ref="K121:S121"/>
    <mergeCell ref="T121:Z121"/>
    <mergeCell ref="A123:G123"/>
    <mergeCell ref="K123:S123"/>
    <mergeCell ref="T123:Z123"/>
    <mergeCell ref="A112:Q112"/>
    <mergeCell ref="A113:Q116"/>
    <mergeCell ref="R113:AG114"/>
    <mergeCell ref="AA115:AG115"/>
    <mergeCell ref="X116:AG116"/>
    <mergeCell ref="A117:M117"/>
    <mergeCell ref="N117:AG117"/>
    <mergeCell ref="A106:Q106"/>
    <mergeCell ref="R106:V106"/>
    <mergeCell ref="W106:AG107"/>
    <mergeCell ref="A107:Q111"/>
    <mergeCell ref="R108:V108"/>
    <mergeCell ref="W108:AG108"/>
    <mergeCell ref="R109:V109"/>
    <mergeCell ref="W110:AG110"/>
    <mergeCell ref="W111:AG111"/>
    <mergeCell ref="A101:H101"/>
    <mergeCell ref="I101:Q101"/>
    <mergeCell ref="R101:AG101"/>
    <mergeCell ref="A102:H105"/>
    <mergeCell ref="I102:Q105"/>
    <mergeCell ref="W102:AC102"/>
    <mergeCell ref="W104:AC104"/>
    <mergeCell ref="A98:Q98"/>
    <mergeCell ref="R98:X98"/>
    <mergeCell ref="Y98:AG98"/>
    <mergeCell ref="A99:Q99"/>
    <mergeCell ref="A100:H100"/>
    <mergeCell ref="I100:Q100"/>
    <mergeCell ref="Z100:AG100"/>
    <mergeCell ref="A95:Q95"/>
    <mergeCell ref="W95:AG95"/>
    <mergeCell ref="A96:Q96"/>
    <mergeCell ref="R96:X96"/>
    <mergeCell ref="Y96:AG96"/>
    <mergeCell ref="A97:Q97"/>
    <mergeCell ref="Y97:AG97"/>
    <mergeCell ref="A92:Q92"/>
    <mergeCell ref="R92:U92"/>
    <mergeCell ref="V92:AG92"/>
    <mergeCell ref="A93:Q93"/>
    <mergeCell ref="R93:AG93"/>
    <mergeCell ref="A94:Q94"/>
    <mergeCell ref="R94:AG94"/>
    <mergeCell ref="A87:AG87"/>
    <mergeCell ref="A89:Q89"/>
    <mergeCell ref="R89:AG89"/>
    <mergeCell ref="A90:Q90"/>
    <mergeCell ref="R90:AG90"/>
    <mergeCell ref="A91:Q91"/>
    <mergeCell ref="R91:U91"/>
    <mergeCell ref="V91:AG91"/>
    <mergeCell ref="AD83:AG83"/>
    <mergeCell ref="AF85:AG85"/>
    <mergeCell ref="A86:X86"/>
    <mergeCell ref="Y86:AC86"/>
    <mergeCell ref="AC8:AK10"/>
    <mergeCell ref="C8:AB10"/>
    <mergeCell ref="C51:K52"/>
    <mergeCell ref="C54:K55"/>
    <mergeCell ref="L54:AS55"/>
    <mergeCell ref="I12:M13"/>
    <mergeCell ref="C12:H13"/>
    <mergeCell ref="C15:K16"/>
    <mergeCell ref="C34:K35"/>
    <mergeCell ref="L28:T29"/>
    <mergeCell ref="L34:AS35"/>
    <mergeCell ref="AO12:AQ12"/>
    <mergeCell ref="AO13:AQ13"/>
    <mergeCell ref="AR12:AS13"/>
    <mergeCell ref="L45:R46"/>
    <mergeCell ref="S45:AF46"/>
    <mergeCell ref="C37:K39"/>
    <mergeCell ref="C31:K32"/>
    <mergeCell ref="L31:M32"/>
    <mergeCell ref="X28:AC29"/>
    <mergeCell ref="S41:AC42"/>
    <mergeCell ref="S43:AC44"/>
    <mergeCell ref="AK37:AS38"/>
    <mergeCell ref="L15:R16"/>
    <mergeCell ref="L21:R22"/>
    <mergeCell ref="S21:Z22"/>
    <mergeCell ref="AA21:AI22"/>
    <mergeCell ref="AJ21:AS22"/>
    <mergeCell ref="S15:Z16"/>
    <mergeCell ref="AA15:AI16"/>
    <mergeCell ref="AJ15:AS16"/>
    <mergeCell ref="L17:R18"/>
    <mergeCell ref="S17:Z18"/>
    <mergeCell ref="AA17:AI18"/>
    <mergeCell ref="AJ17:AS18"/>
    <mergeCell ref="L19:R20"/>
    <mergeCell ref="S19:Z20"/>
    <mergeCell ref="AA19:AI20"/>
    <mergeCell ref="AJ19:AS20"/>
  </mergeCells>
  <pageMargins left="0.27559055118110237" right="3.937007874015748E-2" top="0.39370078740157483" bottom="0.39370078740157483" header="0" footer="0"/>
  <pageSetup paperSize="9" scale="72" orientation="portrait" r:id="rId1"/>
  <headerFooter alignWithMargins="0">
    <oddHeader>&amp;L                                  &amp;C                                                                                   &amp;R&amp;"Calibri"&amp;14&amp;K71BF44 RESTRICTED&amp;1#_x000D_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B8CB-279E-4514-A528-9151453432F6}">
  <sheetPr>
    <pageSetUpPr fitToPage="1"/>
  </sheetPr>
  <dimension ref="A1:AT145"/>
  <sheetViews>
    <sheetView showZeros="0" view="pageBreakPreview" zoomScale="130" zoomScaleSheetLayoutView="130" workbookViewId="0">
      <selection activeCell="D47" sqref="D47:E48"/>
    </sheetView>
  </sheetViews>
  <sheetFormatPr baseColWidth="10" defaultColWidth="9.1640625" defaultRowHeight="13"/>
  <cols>
    <col min="1" max="46" width="2.83203125" style="4" customWidth="1"/>
    <col min="47" max="16384" width="9.1640625" style="4"/>
  </cols>
  <sheetData>
    <row r="1" spans="1:46" ht="13.5" customHeight="1">
      <c r="A1" s="85"/>
      <c r="B1" s="86"/>
      <c r="C1" s="86"/>
      <c r="D1" s="166" t="s">
        <v>52</v>
      </c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86"/>
      <c r="AT1" s="87"/>
    </row>
    <row r="2" spans="1:46" s="7" customFormat="1" ht="13.5" customHeight="1">
      <c r="A2" s="88"/>
      <c r="B2" s="89"/>
      <c r="C2" s="8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89"/>
      <c r="AT2" s="90"/>
    </row>
    <row r="3" spans="1:46" s="7" customFormat="1" ht="13.5" customHeight="1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90"/>
    </row>
    <row r="4" spans="1:46" s="7" customFormat="1" ht="13.5" customHeight="1">
      <c r="A4" s="88"/>
      <c r="B4" s="142" t="s">
        <v>53</v>
      </c>
      <c r="C4" s="142"/>
      <c r="D4" s="142"/>
      <c r="E4" s="142"/>
      <c r="F4" s="142"/>
      <c r="G4" s="126">
        <f>'str1'!I12</f>
        <v>46141</v>
      </c>
      <c r="H4" s="127"/>
      <c r="I4" s="127"/>
      <c r="J4" s="127"/>
      <c r="K4" s="127"/>
      <c r="L4" s="127"/>
      <c r="M4" s="127"/>
      <c r="N4" s="83"/>
      <c r="O4" s="4"/>
      <c r="P4" s="4"/>
      <c r="Q4" s="234" t="s">
        <v>54</v>
      </c>
      <c r="R4" s="158"/>
      <c r="S4" s="158"/>
      <c r="T4" s="158"/>
      <c r="U4" s="158"/>
      <c r="V4" s="158"/>
      <c r="W4" s="158"/>
      <c r="X4" s="158"/>
      <c r="Y4" s="158"/>
      <c r="Z4" s="239" t="str">
        <f>'str1'!AC8</f>
        <v>U/ 734 /26</v>
      </c>
      <c r="AA4" s="239"/>
      <c r="AB4" s="239"/>
      <c r="AC4" s="239"/>
      <c r="AD4" s="239"/>
      <c r="AE4" s="239"/>
      <c r="AF4" s="239"/>
      <c r="AG4" s="4"/>
      <c r="AH4" s="4"/>
      <c r="AI4" s="4"/>
      <c r="AJ4" s="4"/>
      <c r="AK4" s="4"/>
      <c r="AL4" s="4"/>
      <c r="AM4" s="4"/>
      <c r="AN4" s="4"/>
      <c r="AO4" s="134" t="s">
        <v>3</v>
      </c>
      <c r="AP4" s="134"/>
      <c r="AQ4" s="134"/>
      <c r="AR4" s="241" t="str">
        <f ca="1">"s." &amp; _xlfn.SHEET()-1&amp;"/"&amp;_xlfn.SHEETS()-1</f>
        <v>s.2/2</v>
      </c>
      <c r="AS4" s="241"/>
      <c r="AT4" s="90"/>
    </row>
    <row r="5" spans="1:46" ht="13.5" customHeight="1" thickBot="1">
      <c r="A5" s="88"/>
      <c r="B5" s="243" t="s">
        <v>55</v>
      </c>
      <c r="C5" s="244"/>
      <c r="D5" s="244"/>
      <c r="E5" s="244"/>
      <c r="F5" s="244"/>
      <c r="G5" s="128"/>
      <c r="H5" s="128"/>
      <c r="I5" s="128"/>
      <c r="J5" s="128"/>
      <c r="K5" s="128"/>
      <c r="L5" s="128"/>
      <c r="M5" s="128"/>
      <c r="N5" s="84"/>
      <c r="O5" s="48"/>
      <c r="P5" s="48"/>
      <c r="Q5" s="235"/>
      <c r="R5" s="235"/>
      <c r="S5" s="235"/>
      <c r="T5" s="235"/>
      <c r="U5" s="235"/>
      <c r="V5" s="235"/>
      <c r="W5" s="235"/>
      <c r="X5" s="235"/>
      <c r="Y5" s="235"/>
      <c r="Z5" s="240"/>
      <c r="AA5" s="240"/>
      <c r="AB5" s="240"/>
      <c r="AC5" s="240"/>
      <c r="AD5" s="240"/>
      <c r="AE5" s="240"/>
      <c r="AF5" s="240"/>
      <c r="AG5" s="48"/>
      <c r="AH5" s="48"/>
      <c r="AI5" s="48"/>
      <c r="AJ5" s="48"/>
      <c r="AK5" s="48"/>
      <c r="AL5" s="48"/>
      <c r="AM5" s="48"/>
      <c r="AN5" s="48"/>
      <c r="AO5" s="135" t="s">
        <v>4</v>
      </c>
      <c r="AP5" s="135"/>
      <c r="AQ5" s="135"/>
      <c r="AR5" s="242"/>
      <c r="AS5" s="242"/>
      <c r="AT5" s="90"/>
    </row>
    <row r="6" spans="1:46" ht="13.5" customHeight="1">
      <c r="A6" s="53"/>
      <c r="B6" s="8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52"/>
    </row>
    <row r="7" spans="1:46" ht="13.5" customHeight="1">
      <c r="A7" s="54"/>
      <c r="B7" s="245" t="s">
        <v>56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5"/>
      <c r="AH7" s="245"/>
      <c r="AI7" s="245"/>
      <c r="AJ7" s="245"/>
      <c r="AK7" s="245"/>
      <c r="AL7" s="245"/>
      <c r="AM7" s="245"/>
      <c r="AN7" s="245"/>
      <c r="AO7" s="245"/>
      <c r="AP7" s="245"/>
      <c r="AQ7" s="245"/>
      <c r="AR7" s="245"/>
      <c r="AS7" s="245"/>
      <c r="AT7" s="52"/>
    </row>
    <row r="8" spans="1:46" ht="13.5" customHeight="1">
      <c r="A8" s="54"/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  <c r="AA8" s="245"/>
      <c r="AB8" s="245"/>
      <c r="AC8" s="245"/>
      <c r="AD8" s="245"/>
      <c r="AE8" s="245"/>
      <c r="AF8" s="245"/>
      <c r="AG8" s="245"/>
      <c r="AH8" s="245"/>
      <c r="AI8" s="245"/>
      <c r="AJ8" s="245"/>
      <c r="AK8" s="245"/>
      <c r="AL8" s="245"/>
      <c r="AM8" s="245"/>
      <c r="AN8" s="245"/>
      <c r="AO8" s="245"/>
      <c r="AP8" s="245"/>
      <c r="AQ8" s="245"/>
      <c r="AR8" s="245"/>
      <c r="AS8" s="245"/>
      <c r="AT8" s="52"/>
    </row>
    <row r="9" spans="1:46" ht="12" customHeight="1">
      <c r="A9" s="55"/>
      <c r="B9" s="245" t="s">
        <v>57</v>
      </c>
      <c r="C9" s="245"/>
      <c r="D9" s="245"/>
      <c r="E9" s="245"/>
      <c r="F9" s="245"/>
      <c r="G9" s="245"/>
      <c r="H9" s="245"/>
      <c r="I9" s="245"/>
      <c r="J9" s="245"/>
      <c r="K9" s="245"/>
      <c r="L9" s="246" t="s">
        <v>58</v>
      </c>
      <c r="M9" s="246"/>
      <c r="N9" s="246"/>
      <c r="O9" s="246"/>
      <c r="P9" s="245" t="s">
        <v>59</v>
      </c>
      <c r="Q9" s="245"/>
      <c r="R9" s="245"/>
      <c r="S9" s="245"/>
      <c r="T9" s="245"/>
      <c r="U9" s="245"/>
      <c r="V9" s="245"/>
      <c r="W9" s="245"/>
      <c r="X9" s="245"/>
      <c r="Y9" s="245"/>
      <c r="Z9" s="246" t="s">
        <v>60</v>
      </c>
      <c r="AA9" s="246"/>
      <c r="AB9" s="246"/>
      <c r="AC9" s="246"/>
      <c r="AD9" s="246"/>
      <c r="AE9" s="246"/>
      <c r="AF9" s="246"/>
      <c r="AG9" s="246"/>
      <c r="AH9" s="246"/>
      <c r="AI9" s="101"/>
      <c r="AJ9" s="101"/>
      <c r="AK9" s="101"/>
      <c r="AL9" s="101"/>
      <c r="AM9" s="101"/>
      <c r="AN9" s="101"/>
      <c r="AO9" s="101"/>
      <c r="AP9" s="101"/>
      <c r="AQ9" s="103"/>
      <c r="AR9" s="103"/>
      <c r="AS9" s="104"/>
      <c r="AT9" s="72"/>
    </row>
    <row r="10" spans="1:46" ht="12" customHeight="1">
      <c r="A10" s="55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6"/>
      <c r="M10" s="246"/>
      <c r="N10" s="246"/>
      <c r="O10" s="246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6"/>
      <c r="AA10" s="246"/>
      <c r="AB10" s="246"/>
      <c r="AC10" s="246"/>
      <c r="AD10" s="246"/>
      <c r="AE10" s="246"/>
      <c r="AF10" s="246"/>
      <c r="AG10" s="246"/>
      <c r="AH10" s="246"/>
      <c r="AI10" s="103"/>
      <c r="AJ10" s="103"/>
      <c r="AK10" s="103"/>
      <c r="AL10" s="104"/>
      <c r="AM10" s="102"/>
      <c r="AN10" s="102"/>
      <c r="AO10" s="102"/>
      <c r="AP10" s="102"/>
      <c r="AQ10" s="103"/>
      <c r="AR10" s="103"/>
      <c r="AS10" s="104"/>
      <c r="AT10" s="72"/>
    </row>
    <row r="11" spans="1:46" ht="13.5" customHeight="1">
      <c r="A11" s="5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101"/>
      <c r="M11" s="101"/>
      <c r="N11" s="101"/>
      <c r="O11" s="101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101"/>
      <c r="AA11" s="102"/>
      <c r="AB11" s="102"/>
      <c r="AC11" s="102"/>
      <c r="AD11" s="102"/>
      <c r="AE11" s="102"/>
      <c r="AF11" s="102"/>
      <c r="AG11" s="102"/>
      <c r="AH11" s="102"/>
      <c r="AI11" s="103"/>
      <c r="AJ11" s="103"/>
      <c r="AK11" s="104"/>
      <c r="AL11" s="104"/>
      <c r="AM11" s="104"/>
      <c r="AN11" s="104"/>
      <c r="AO11" s="103"/>
      <c r="AP11" s="103"/>
      <c r="AQ11" s="103"/>
      <c r="AR11" s="103"/>
      <c r="AS11" s="104"/>
      <c r="AT11" s="52"/>
    </row>
    <row r="12" spans="1:46" ht="13.5" customHeight="1">
      <c r="A12" s="53"/>
      <c r="B12" s="204" t="s">
        <v>61</v>
      </c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47" t="s">
        <v>62</v>
      </c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52"/>
    </row>
    <row r="13" spans="1:46" ht="13.5" customHeight="1">
      <c r="A13" s="53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52"/>
    </row>
    <row r="14" spans="1:46" ht="13.5" customHeight="1">
      <c r="A14" s="53"/>
      <c r="B14" s="231" t="s">
        <v>63</v>
      </c>
      <c r="C14" s="227"/>
      <c r="D14" s="227"/>
      <c r="E14" s="221" t="s">
        <v>64</v>
      </c>
      <c r="F14" s="222"/>
      <c r="G14" s="222"/>
      <c r="H14" s="223"/>
      <c r="I14" s="227" t="s">
        <v>65</v>
      </c>
      <c r="J14" s="227"/>
      <c r="K14" s="228"/>
      <c r="L14" s="221" t="s">
        <v>66</v>
      </c>
      <c r="M14" s="222"/>
      <c r="N14" s="222"/>
      <c r="O14" s="223"/>
      <c r="P14" s="221" t="s">
        <v>67</v>
      </c>
      <c r="Q14" s="222"/>
      <c r="R14" s="222"/>
      <c r="S14" s="222"/>
      <c r="T14" s="223"/>
      <c r="U14" s="221" t="s">
        <v>68</v>
      </c>
      <c r="V14" s="222"/>
      <c r="W14" s="222"/>
      <c r="X14" s="223"/>
      <c r="Y14" s="231" t="s">
        <v>69</v>
      </c>
      <c r="Z14" s="222"/>
      <c r="AA14" s="223"/>
      <c r="AB14" s="221" t="s">
        <v>70</v>
      </c>
      <c r="AC14" s="222"/>
      <c r="AD14" s="222"/>
      <c r="AE14" s="223"/>
      <c r="AF14" s="221" t="s">
        <v>71</v>
      </c>
      <c r="AG14" s="222"/>
      <c r="AH14" s="222"/>
      <c r="AI14" s="223"/>
      <c r="AJ14" s="231" t="s">
        <v>72</v>
      </c>
      <c r="AK14" s="228"/>
      <c r="AL14" s="202" t="s">
        <v>73</v>
      </c>
      <c r="AM14" s="202"/>
      <c r="AN14" s="202"/>
      <c r="AO14" s="202"/>
      <c r="AP14" s="202"/>
      <c r="AQ14" s="202" t="s">
        <v>74</v>
      </c>
      <c r="AR14" s="202"/>
      <c r="AS14" s="202"/>
      <c r="AT14" s="52"/>
    </row>
    <row r="15" spans="1:46" ht="13.5" customHeight="1">
      <c r="A15" s="53"/>
      <c r="B15" s="232"/>
      <c r="C15" s="229"/>
      <c r="D15" s="229"/>
      <c r="E15" s="224"/>
      <c r="F15" s="225"/>
      <c r="G15" s="225"/>
      <c r="H15" s="226"/>
      <c r="I15" s="229"/>
      <c r="J15" s="229"/>
      <c r="K15" s="230"/>
      <c r="L15" s="224"/>
      <c r="M15" s="225"/>
      <c r="N15" s="225"/>
      <c r="O15" s="226"/>
      <c r="P15" s="224"/>
      <c r="Q15" s="225"/>
      <c r="R15" s="225"/>
      <c r="S15" s="225"/>
      <c r="T15" s="226"/>
      <c r="U15" s="224"/>
      <c r="V15" s="225"/>
      <c r="W15" s="225"/>
      <c r="X15" s="226"/>
      <c r="Y15" s="224"/>
      <c r="Z15" s="225"/>
      <c r="AA15" s="226"/>
      <c r="AB15" s="224"/>
      <c r="AC15" s="225"/>
      <c r="AD15" s="225"/>
      <c r="AE15" s="226"/>
      <c r="AF15" s="224"/>
      <c r="AG15" s="225"/>
      <c r="AH15" s="225"/>
      <c r="AI15" s="226"/>
      <c r="AJ15" s="232"/>
      <c r="AK15" s="230"/>
      <c r="AL15" s="202"/>
      <c r="AM15" s="202"/>
      <c r="AN15" s="202"/>
      <c r="AO15" s="202"/>
      <c r="AP15" s="202"/>
      <c r="AQ15" s="202"/>
      <c r="AR15" s="202"/>
      <c r="AS15" s="202"/>
      <c r="AT15" s="52"/>
    </row>
    <row r="16" spans="1:46" ht="13.5" customHeight="1">
      <c r="A16" s="53"/>
      <c r="B16" s="231"/>
      <c r="C16" s="227"/>
      <c r="D16" s="227"/>
      <c r="E16" s="221"/>
      <c r="F16" s="222"/>
      <c r="G16" s="222"/>
      <c r="H16" s="223"/>
      <c r="I16" s="233" t="s">
        <v>75</v>
      </c>
      <c r="J16" s="227"/>
      <c r="K16" s="228"/>
      <c r="L16" s="221" t="s">
        <v>76</v>
      </c>
      <c r="M16" s="222"/>
      <c r="N16" s="222"/>
      <c r="O16" s="223"/>
      <c r="P16" s="221"/>
      <c r="Q16" s="222"/>
      <c r="R16" s="222"/>
      <c r="S16" s="222"/>
      <c r="T16" s="223"/>
      <c r="U16" s="221"/>
      <c r="V16" s="222"/>
      <c r="W16" s="222"/>
      <c r="X16" s="223"/>
      <c r="Y16" s="221"/>
      <c r="Z16" s="222"/>
      <c r="AA16" s="223"/>
      <c r="AB16" s="221" t="s">
        <v>76</v>
      </c>
      <c r="AC16" s="222"/>
      <c r="AD16" s="222"/>
      <c r="AE16" s="223"/>
      <c r="AF16" s="221"/>
      <c r="AG16" s="222"/>
      <c r="AH16" s="222"/>
      <c r="AI16" s="223"/>
      <c r="AJ16" s="221" t="s">
        <v>77</v>
      </c>
      <c r="AK16" s="223"/>
      <c r="AL16" s="202" t="s">
        <v>78</v>
      </c>
      <c r="AM16" s="202"/>
      <c r="AN16" s="202"/>
      <c r="AO16" s="202"/>
      <c r="AP16" s="202"/>
      <c r="AQ16" s="202" t="s">
        <v>76</v>
      </c>
      <c r="AR16" s="202"/>
      <c r="AS16" s="202"/>
      <c r="AT16" s="52"/>
    </row>
    <row r="17" spans="1:46" ht="13.5" customHeight="1">
      <c r="A17" s="56"/>
      <c r="B17" s="213" t="s">
        <v>79</v>
      </c>
      <c r="C17" s="214"/>
      <c r="D17" s="215"/>
      <c r="E17" s="199" t="s">
        <v>80</v>
      </c>
      <c r="F17" s="200"/>
      <c r="G17" s="200"/>
      <c r="H17" s="201"/>
      <c r="I17" s="216">
        <v>70</v>
      </c>
      <c r="J17" s="217"/>
      <c r="K17" s="218"/>
      <c r="L17" s="199">
        <v>13</v>
      </c>
      <c r="M17" s="200"/>
      <c r="N17" s="200"/>
      <c r="O17" s="201"/>
      <c r="P17" s="199" t="s">
        <v>81</v>
      </c>
      <c r="Q17" s="200"/>
      <c r="R17" s="200"/>
      <c r="S17" s="200"/>
      <c r="T17" s="201"/>
      <c r="U17" s="199" t="s">
        <v>82</v>
      </c>
      <c r="V17" s="200"/>
      <c r="W17" s="200"/>
      <c r="X17" s="201"/>
      <c r="Y17" s="202">
        <v>23</v>
      </c>
      <c r="Z17" s="202"/>
      <c r="AA17" s="202"/>
      <c r="AB17" s="219" t="s">
        <v>83</v>
      </c>
      <c r="AC17" s="219"/>
      <c r="AD17" s="219"/>
      <c r="AE17" s="219"/>
      <c r="AF17" s="221" t="s">
        <v>84</v>
      </c>
      <c r="AG17" s="222"/>
      <c r="AH17" s="222"/>
      <c r="AI17" s="223"/>
      <c r="AJ17" s="220" t="s">
        <v>85</v>
      </c>
      <c r="AK17" s="220"/>
      <c r="AL17" s="199">
        <v>44</v>
      </c>
      <c r="AM17" s="200"/>
      <c r="AN17" s="200"/>
      <c r="AO17" s="200"/>
      <c r="AP17" s="201"/>
      <c r="AQ17" s="202">
        <v>125</v>
      </c>
      <c r="AR17" s="202"/>
      <c r="AS17" s="202"/>
      <c r="AT17" s="52"/>
    </row>
    <row r="18" spans="1:46" ht="13.5" customHeight="1">
      <c r="A18" s="57"/>
      <c r="B18" s="213" t="s">
        <v>86</v>
      </c>
      <c r="C18" s="214"/>
      <c r="D18" s="215"/>
      <c r="E18" s="199" t="s">
        <v>80</v>
      </c>
      <c r="F18" s="200"/>
      <c r="G18" s="200"/>
      <c r="H18" s="201"/>
      <c r="I18" s="216">
        <v>60</v>
      </c>
      <c r="J18" s="217"/>
      <c r="K18" s="218"/>
      <c r="L18" s="199">
        <v>10</v>
      </c>
      <c r="M18" s="200"/>
      <c r="N18" s="200"/>
      <c r="O18" s="201"/>
      <c r="P18" s="199" t="s">
        <v>87</v>
      </c>
      <c r="Q18" s="200"/>
      <c r="R18" s="200"/>
      <c r="S18" s="200"/>
      <c r="T18" s="201"/>
      <c r="U18" s="199" t="s">
        <v>82</v>
      </c>
      <c r="V18" s="200"/>
      <c r="W18" s="200"/>
      <c r="X18" s="201"/>
      <c r="Y18" s="202">
        <v>21</v>
      </c>
      <c r="Z18" s="202"/>
      <c r="AA18" s="202"/>
      <c r="AB18" s="219" t="s">
        <v>83</v>
      </c>
      <c r="AC18" s="219"/>
      <c r="AD18" s="219"/>
      <c r="AE18" s="219"/>
      <c r="AF18" s="221" t="s">
        <v>84</v>
      </c>
      <c r="AG18" s="222"/>
      <c r="AH18" s="222"/>
      <c r="AI18" s="223"/>
      <c r="AJ18" s="220" t="s">
        <v>85</v>
      </c>
      <c r="AK18" s="220"/>
      <c r="AL18" s="199">
        <v>41</v>
      </c>
      <c r="AM18" s="200"/>
      <c r="AN18" s="200"/>
      <c r="AO18" s="200"/>
      <c r="AP18" s="201"/>
      <c r="AQ18" s="202">
        <v>100</v>
      </c>
      <c r="AR18" s="202"/>
      <c r="AS18" s="202"/>
      <c r="AT18" s="52"/>
    </row>
    <row r="19" spans="1:46" ht="13.5" customHeight="1">
      <c r="A19" s="57"/>
      <c r="B19" s="213" t="s">
        <v>88</v>
      </c>
      <c r="C19" s="214"/>
      <c r="D19" s="215"/>
      <c r="E19" s="199" t="s">
        <v>89</v>
      </c>
      <c r="F19" s="200"/>
      <c r="G19" s="200"/>
      <c r="H19" s="201"/>
      <c r="I19" s="216">
        <v>0</v>
      </c>
      <c r="J19" s="217"/>
      <c r="K19" s="218"/>
      <c r="L19" s="199">
        <v>0</v>
      </c>
      <c r="M19" s="200"/>
      <c r="N19" s="200"/>
      <c r="O19" s="201"/>
      <c r="P19" s="199" t="s">
        <v>90</v>
      </c>
      <c r="Q19" s="200"/>
      <c r="R19" s="200"/>
      <c r="S19" s="200"/>
      <c r="T19" s="201"/>
      <c r="U19" s="199" t="s">
        <v>91</v>
      </c>
      <c r="V19" s="200"/>
      <c r="W19" s="200"/>
      <c r="X19" s="201"/>
      <c r="Y19" s="202">
        <v>32</v>
      </c>
      <c r="Z19" s="202"/>
      <c r="AA19" s="202"/>
      <c r="AB19" s="219" t="s">
        <v>83</v>
      </c>
      <c r="AC19" s="219"/>
      <c r="AD19" s="219"/>
      <c r="AE19" s="219"/>
      <c r="AF19" s="202" t="s">
        <v>92</v>
      </c>
      <c r="AG19" s="202"/>
      <c r="AH19" s="202"/>
      <c r="AI19" s="202"/>
      <c r="AJ19" s="198" t="s">
        <v>93</v>
      </c>
      <c r="AK19" s="198"/>
      <c r="AL19" s="199">
        <v>34</v>
      </c>
      <c r="AM19" s="200"/>
      <c r="AN19" s="200"/>
      <c r="AO19" s="200"/>
      <c r="AP19" s="201"/>
      <c r="AQ19" s="202">
        <v>50</v>
      </c>
      <c r="AR19" s="202"/>
      <c r="AS19" s="202"/>
      <c r="AT19" s="52"/>
    </row>
    <row r="20" spans="1:46" ht="13.5" customHeight="1">
      <c r="A20" s="57"/>
      <c r="B20" s="105"/>
      <c r="C20" s="109"/>
      <c r="D20" s="109"/>
      <c r="E20" s="107"/>
      <c r="F20" s="107"/>
      <c r="G20" s="107"/>
      <c r="H20" s="107"/>
      <c r="I20" s="109"/>
      <c r="J20" s="109"/>
      <c r="K20" s="109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9"/>
      <c r="AK20" s="109"/>
      <c r="AL20" s="107"/>
      <c r="AM20" s="107"/>
      <c r="AN20" s="107"/>
      <c r="AO20" s="107"/>
      <c r="AP20" s="107"/>
      <c r="AQ20" s="107"/>
      <c r="AR20" s="107"/>
      <c r="AS20" s="106"/>
      <c r="AT20" s="52"/>
    </row>
    <row r="21" spans="1:46" ht="13.5" customHeight="1">
      <c r="A21" s="58"/>
      <c r="B21" s="203" t="s">
        <v>94</v>
      </c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52"/>
    </row>
    <row r="22" spans="1:46" ht="13.5" customHeight="1">
      <c r="A22" s="58"/>
      <c r="B22" s="203"/>
      <c r="C22" s="203"/>
      <c r="D22" s="203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3"/>
      <c r="AP22" s="203"/>
      <c r="AQ22" s="203"/>
      <c r="AR22" s="203"/>
      <c r="AS22" s="203"/>
      <c r="AT22" s="52"/>
    </row>
    <row r="23" spans="1:46" ht="13.5" customHeight="1">
      <c r="A23" s="58"/>
      <c r="B23" s="111"/>
      <c r="C23" s="15"/>
      <c r="D23" s="15"/>
      <c r="E23" s="15"/>
      <c r="F23" s="15"/>
      <c r="G23" s="112"/>
      <c r="H23" s="112"/>
      <c r="I23" s="112"/>
      <c r="J23" s="112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H23" s="45"/>
      <c r="AI23" s="45"/>
      <c r="AJ23" s="43"/>
      <c r="AK23" s="43"/>
      <c r="AL23" s="45"/>
      <c r="AM23" s="45"/>
      <c r="AN23" s="45"/>
      <c r="AO23" s="45"/>
      <c r="AP23" s="45"/>
      <c r="AQ23" s="45"/>
      <c r="AR23" s="45"/>
      <c r="AS23" s="108"/>
      <c r="AT23" s="52"/>
    </row>
    <row r="24" spans="1:46" ht="13.5" customHeight="1">
      <c r="A24" s="58"/>
      <c r="B24" s="204" t="s">
        <v>95</v>
      </c>
      <c r="C24" s="204"/>
      <c r="D24" s="204"/>
      <c r="E24" s="204"/>
      <c r="F24" s="204"/>
      <c r="G24" s="204"/>
      <c r="H24" s="204"/>
      <c r="I24" s="204"/>
      <c r="J24" s="204"/>
      <c r="K24" s="204"/>
      <c r="L24" s="205" t="s">
        <v>96</v>
      </c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  <c r="AT24" s="52"/>
    </row>
    <row r="25" spans="1:46" ht="13.5" customHeight="1">
      <c r="A25" s="58"/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52"/>
    </row>
    <row r="26" spans="1:46" ht="13.5" customHeight="1">
      <c r="A26" s="56"/>
      <c r="B26" s="206" t="s">
        <v>97</v>
      </c>
      <c r="C26" s="206"/>
      <c r="D26" s="206" t="s">
        <v>98</v>
      </c>
      <c r="E26" s="206"/>
      <c r="F26" s="206" t="s">
        <v>99</v>
      </c>
      <c r="G26" s="206"/>
      <c r="H26" s="206"/>
      <c r="I26" s="206"/>
      <c r="J26" s="206"/>
      <c r="K26" s="206"/>
      <c r="L26" s="207" t="s">
        <v>100</v>
      </c>
      <c r="M26" s="207"/>
      <c r="N26" s="208" t="s">
        <v>101</v>
      </c>
      <c r="O26" s="208"/>
      <c r="P26" s="208"/>
      <c r="Q26" s="208"/>
      <c r="R26" s="208"/>
      <c r="S26" s="208"/>
      <c r="T26" s="208"/>
      <c r="U26" s="208"/>
      <c r="V26" s="208"/>
      <c r="W26" s="208"/>
      <c r="X26" s="209" t="s">
        <v>102</v>
      </c>
      <c r="Y26" s="209"/>
      <c r="Z26" s="209"/>
      <c r="AA26" s="209"/>
      <c r="AB26" s="209"/>
      <c r="AC26" s="209"/>
      <c r="AD26" s="210" t="s">
        <v>103</v>
      </c>
      <c r="AE26" s="211"/>
      <c r="AF26" s="211"/>
      <c r="AG26" s="210" t="s">
        <v>104</v>
      </c>
      <c r="AH26" s="210"/>
      <c r="AI26" s="210"/>
      <c r="AJ26" s="210" t="s">
        <v>105</v>
      </c>
      <c r="AK26" s="210"/>
      <c r="AL26" s="210"/>
      <c r="AM26" s="210" t="s">
        <v>106</v>
      </c>
      <c r="AN26" s="210"/>
      <c r="AO26" s="210"/>
      <c r="AP26" s="210"/>
      <c r="AQ26" s="210"/>
      <c r="AR26" s="210"/>
      <c r="AS26" s="210"/>
      <c r="AT26" s="52"/>
    </row>
    <row r="27" spans="1:46" ht="13.5" customHeight="1">
      <c r="A27" s="56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7"/>
      <c r="M27" s="207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9"/>
      <c r="Y27" s="209"/>
      <c r="Z27" s="209"/>
      <c r="AA27" s="209"/>
      <c r="AB27" s="209"/>
      <c r="AC27" s="209"/>
      <c r="AD27" s="211"/>
      <c r="AE27" s="211"/>
      <c r="AF27" s="211"/>
      <c r="AG27" s="210"/>
      <c r="AH27" s="210"/>
      <c r="AI27" s="210"/>
      <c r="AJ27" s="210"/>
      <c r="AK27" s="210"/>
      <c r="AL27" s="210"/>
      <c r="AM27" s="210"/>
      <c r="AN27" s="210"/>
      <c r="AO27" s="210"/>
      <c r="AP27" s="210"/>
      <c r="AQ27" s="210"/>
      <c r="AR27" s="210"/>
      <c r="AS27" s="210"/>
      <c r="AT27" s="52"/>
    </row>
    <row r="28" spans="1:46" ht="13.5" customHeight="1">
      <c r="A28" s="56"/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7"/>
      <c r="M28" s="207"/>
      <c r="N28" s="212" t="s">
        <v>107</v>
      </c>
      <c r="O28" s="212"/>
      <c r="P28" s="212"/>
      <c r="Q28" s="212"/>
      <c r="R28" s="210" t="s">
        <v>108</v>
      </c>
      <c r="S28" s="210"/>
      <c r="T28" s="210" t="s">
        <v>109</v>
      </c>
      <c r="U28" s="210"/>
      <c r="V28" s="210" t="s">
        <v>110</v>
      </c>
      <c r="W28" s="210"/>
      <c r="X28" s="210" t="s">
        <v>111</v>
      </c>
      <c r="Y28" s="210"/>
      <c r="Z28" s="210"/>
      <c r="AA28" s="210" t="s">
        <v>112</v>
      </c>
      <c r="AB28" s="210"/>
      <c r="AC28" s="210"/>
      <c r="AD28" s="211"/>
      <c r="AE28" s="211"/>
      <c r="AF28" s="211"/>
      <c r="AG28" s="210"/>
      <c r="AH28" s="210"/>
      <c r="AI28" s="210"/>
      <c r="AJ28" s="210"/>
      <c r="AK28" s="210"/>
      <c r="AL28" s="210"/>
      <c r="AM28" s="210"/>
      <c r="AN28" s="210"/>
      <c r="AO28" s="210"/>
      <c r="AP28" s="210"/>
      <c r="AQ28" s="210"/>
      <c r="AR28" s="210"/>
      <c r="AS28" s="210"/>
      <c r="AT28" s="52"/>
    </row>
    <row r="29" spans="1:46" ht="13.5" customHeight="1">
      <c r="A29" s="59"/>
      <c r="B29" s="206"/>
      <c r="C29" s="206"/>
      <c r="D29" s="206"/>
      <c r="E29" s="206"/>
      <c r="F29" s="206"/>
      <c r="G29" s="206"/>
      <c r="H29" s="206"/>
      <c r="I29" s="206"/>
      <c r="J29" s="206"/>
      <c r="K29" s="206"/>
      <c r="L29" s="207"/>
      <c r="M29" s="207"/>
      <c r="N29" s="212"/>
      <c r="O29" s="212"/>
      <c r="P29" s="212"/>
      <c r="Q29" s="212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1"/>
      <c r="AE29" s="211"/>
      <c r="AF29" s="211"/>
      <c r="AG29" s="210"/>
      <c r="AH29" s="210"/>
      <c r="AI29" s="210"/>
      <c r="AJ29" s="210"/>
      <c r="AK29" s="210"/>
      <c r="AL29" s="210"/>
      <c r="AM29" s="210"/>
      <c r="AN29" s="210"/>
      <c r="AO29" s="210"/>
      <c r="AP29" s="210"/>
      <c r="AQ29" s="210"/>
      <c r="AR29" s="210"/>
      <c r="AS29" s="210"/>
      <c r="AT29" s="52"/>
    </row>
    <row r="30" spans="1:46" ht="13.5" customHeight="1">
      <c r="A30" s="59"/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7"/>
      <c r="M30" s="207"/>
      <c r="N30" s="211" t="s">
        <v>113</v>
      </c>
      <c r="O30" s="211"/>
      <c r="P30" s="211" t="s">
        <v>114</v>
      </c>
      <c r="Q30" s="211"/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1"/>
      <c r="AE30" s="211"/>
      <c r="AF30" s="211"/>
      <c r="AG30" s="210"/>
      <c r="AH30" s="210"/>
      <c r="AI30" s="210"/>
      <c r="AJ30" s="210"/>
      <c r="AK30" s="210"/>
      <c r="AL30" s="210"/>
      <c r="AM30" s="210"/>
      <c r="AN30" s="210"/>
      <c r="AO30" s="210"/>
      <c r="AP30" s="210"/>
      <c r="AQ30" s="210"/>
      <c r="AR30" s="210"/>
      <c r="AS30" s="210"/>
      <c r="AT30" s="52"/>
    </row>
    <row r="31" spans="1:46" ht="13.5" customHeight="1">
      <c r="A31" s="59"/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7"/>
      <c r="M31" s="207"/>
      <c r="N31" s="211"/>
      <c r="O31" s="211"/>
      <c r="P31" s="211"/>
      <c r="Q31" s="211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1"/>
      <c r="AE31" s="211"/>
      <c r="AF31" s="211"/>
      <c r="AG31" s="210"/>
      <c r="AH31" s="210"/>
      <c r="AI31" s="210"/>
      <c r="AJ31" s="210"/>
      <c r="AK31" s="210"/>
      <c r="AL31" s="210"/>
      <c r="AM31" s="210"/>
      <c r="AN31" s="210"/>
      <c r="AO31" s="210"/>
      <c r="AP31" s="210"/>
      <c r="AQ31" s="210"/>
      <c r="AR31" s="210"/>
      <c r="AS31" s="210"/>
      <c r="AT31" s="52"/>
    </row>
    <row r="32" spans="1:46" ht="13.5" customHeight="1">
      <c r="A32" s="59"/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7"/>
      <c r="M32" s="207"/>
      <c r="N32" s="211"/>
      <c r="O32" s="211"/>
      <c r="P32" s="211"/>
      <c r="Q32" s="211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1"/>
      <c r="AE32" s="211"/>
      <c r="AF32" s="211"/>
      <c r="AG32" s="210"/>
      <c r="AH32" s="210"/>
      <c r="AI32" s="210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  <c r="AT32" s="52"/>
    </row>
    <row r="33" spans="1:46" ht="13.5" customHeight="1">
      <c r="A33" s="59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7"/>
      <c r="M33" s="207"/>
      <c r="N33" s="211"/>
      <c r="O33" s="211"/>
      <c r="P33" s="211"/>
      <c r="Q33" s="211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1"/>
      <c r="AE33" s="211"/>
      <c r="AF33" s="211"/>
      <c r="AG33" s="210"/>
      <c r="AH33" s="210"/>
      <c r="AI33" s="210"/>
      <c r="AJ33" s="210"/>
      <c r="AK33" s="210"/>
      <c r="AL33" s="210"/>
      <c r="AM33" s="210"/>
      <c r="AN33" s="210"/>
      <c r="AO33" s="210"/>
      <c r="AP33" s="210"/>
      <c r="AQ33" s="210"/>
      <c r="AR33" s="210"/>
      <c r="AS33" s="210"/>
      <c r="AT33" s="52"/>
    </row>
    <row r="34" spans="1:46" ht="13.5" customHeight="1">
      <c r="A34" s="59"/>
      <c r="B34" s="206"/>
      <c r="C34" s="206"/>
      <c r="D34" s="206"/>
      <c r="E34" s="206"/>
      <c r="F34" s="206"/>
      <c r="G34" s="206"/>
      <c r="H34" s="206"/>
      <c r="I34" s="206"/>
      <c r="J34" s="206"/>
      <c r="K34" s="206"/>
      <c r="L34" s="207"/>
      <c r="M34" s="207"/>
      <c r="N34" s="211"/>
      <c r="O34" s="211"/>
      <c r="P34" s="211"/>
      <c r="Q34" s="211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1"/>
      <c r="AE34" s="211"/>
      <c r="AF34" s="211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  <c r="AT34" s="52"/>
    </row>
    <row r="35" spans="1:46" ht="13.5" customHeight="1">
      <c r="A35" s="59"/>
      <c r="B35" s="190" t="str">
        <f>DANE!B1</f>
        <v>X53</v>
      </c>
      <c r="C35" s="190"/>
      <c r="D35" s="190" t="s">
        <v>84</v>
      </c>
      <c r="E35" s="190"/>
      <c r="F35" s="190" t="s">
        <v>115</v>
      </c>
      <c r="G35" s="190"/>
      <c r="H35" s="190"/>
      <c r="I35" s="190"/>
      <c r="J35" s="190"/>
      <c r="K35" s="190"/>
      <c r="L35" s="190" t="s">
        <v>116</v>
      </c>
      <c r="M35" s="190"/>
      <c r="N35" s="197" t="s">
        <v>117</v>
      </c>
      <c r="O35" s="197"/>
      <c r="P35" s="197" t="s">
        <v>117</v>
      </c>
      <c r="Q35" s="197"/>
      <c r="R35" s="191" t="s">
        <v>117</v>
      </c>
      <c r="S35" s="193"/>
      <c r="T35" s="191" t="s">
        <v>117</v>
      </c>
      <c r="U35" s="193"/>
      <c r="V35" s="191" t="s">
        <v>117</v>
      </c>
      <c r="W35" s="193"/>
      <c r="X35" s="191" t="s">
        <v>117</v>
      </c>
      <c r="Y35" s="192"/>
      <c r="Z35" s="193"/>
      <c r="AA35" s="191" t="s">
        <v>117</v>
      </c>
      <c r="AB35" s="192"/>
      <c r="AC35" s="193"/>
      <c r="AD35" s="197" t="s">
        <v>118</v>
      </c>
      <c r="AE35" s="197"/>
      <c r="AF35" s="197"/>
      <c r="AG35" s="197" t="s">
        <v>119</v>
      </c>
      <c r="AH35" s="197"/>
      <c r="AI35" s="197"/>
      <c r="AJ35" s="197" t="s">
        <v>120</v>
      </c>
      <c r="AK35" s="197"/>
      <c r="AL35" s="197"/>
      <c r="AM35" s="188" t="s">
        <v>121</v>
      </c>
      <c r="AN35" s="189"/>
      <c r="AO35" s="189"/>
      <c r="AP35" s="189"/>
      <c r="AQ35" s="189"/>
      <c r="AR35" s="189"/>
      <c r="AS35" s="189"/>
      <c r="AT35" s="52"/>
    </row>
    <row r="36" spans="1:46" ht="13.5" customHeight="1">
      <c r="A36" s="61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7"/>
      <c r="O36" s="197"/>
      <c r="P36" s="197"/>
      <c r="Q36" s="197"/>
      <c r="R36" s="194"/>
      <c r="S36" s="196"/>
      <c r="T36" s="194"/>
      <c r="U36" s="196"/>
      <c r="V36" s="194"/>
      <c r="W36" s="196"/>
      <c r="X36" s="194"/>
      <c r="Y36" s="195"/>
      <c r="Z36" s="196"/>
      <c r="AA36" s="194"/>
      <c r="AB36" s="195"/>
      <c r="AC36" s="196"/>
      <c r="AD36" s="197"/>
      <c r="AE36" s="197"/>
      <c r="AF36" s="197"/>
      <c r="AG36" s="197"/>
      <c r="AH36" s="197"/>
      <c r="AI36" s="197"/>
      <c r="AJ36" s="197"/>
      <c r="AK36" s="197"/>
      <c r="AL36" s="197"/>
      <c r="AM36" s="189"/>
      <c r="AN36" s="189"/>
      <c r="AO36" s="189"/>
      <c r="AP36" s="189"/>
      <c r="AQ36" s="189"/>
      <c r="AR36" s="189"/>
      <c r="AS36" s="189"/>
      <c r="AT36" s="52"/>
    </row>
    <row r="37" spans="1:46" ht="13.5" customHeight="1">
      <c r="A37" s="61"/>
      <c r="B37" s="190">
        <f>DANE!B2</f>
        <v>0</v>
      </c>
      <c r="C37" s="190"/>
      <c r="D37" s="190">
        <f>IF(B37&lt;&gt;0,D35,0)</f>
        <v>0</v>
      </c>
      <c r="E37" s="190"/>
      <c r="F37" s="182">
        <f t="shared" ref="F37" si="0">IF(D37&lt;&gt;0,F35,0)</f>
        <v>0</v>
      </c>
      <c r="G37" s="183"/>
      <c r="H37" s="183"/>
      <c r="I37" s="183"/>
      <c r="J37" s="183"/>
      <c r="K37" s="184"/>
      <c r="L37" s="182">
        <f>IF(B37&lt;&gt;0,L35,0)</f>
        <v>0</v>
      </c>
      <c r="M37" s="184"/>
      <c r="N37" s="182">
        <f>IF(B37&lt;&gt;0,N35,0)</f>
        <v>0</v>
      </c>
      <c r="O37" s="184"/>
      <c r="P37" s="182">
        <f>IF(B37&lt;&gt;0,P35,0)</f>
        <v>0</v>
      </c>
      <c r="Q37" s="184"/>
      <c r="R37" s="182">
        <f>IF(B37&lt;&gt;0,R35,0)</f>
        <v>0</v>
      </c>
      <c r="S37" s="184"/>
      <c r="T37" s="182">
        <f>IF(B37&lt;&gt;0,V35,0)</f>
        <v>0</v>
      </c>
      <c r="U37" s="184"/>
      <c r="V37" s="182">
        <f>IF(B37&lt;&gt;0,V35,0)</f>
        <v>0</v>
      </c>
      <c r="W37" s="184"/>
      <c r="X37" s="182">
        <f>IF(B37&lt;&gt;0,X35,0)</f>
        <v>0</v>
      </c>
      <c r="Y37" s="183"/>
      <c r="Z37" s="184"/>
      <c r="AA37" s="182">
        <f>IF(B37&lt;&gt;0,AA35,0)</f>
        <v>0</v>
      </c>
      <c r="AB37" s="183"/>
      <c r="AC37" s="184"/>
      <c r="AD37" s="182">
        <f>IF(B37&lt;&gt;0,AD35,0)</f>
        <v>0</v>
      </c>
      <c r="AE37" s="183"/>
      <c r="AF37" s="184"/>
      <c r="AG37" s="182">
        <f>IF(B37&lt;&gt;0,AG35,0)</f>
        <v>0</v>
      </c>
      <c r="AH37" s="183"/>
      <c r="AI37" s="184"/>
      <c r="AJ37" s="182">
        <f>IF(B37&lt;&gt;0,AJ35,0)</f>
        <v>0</v>
      </c>
      <c r="AK37" s="183"/>
      <c r="AL37" s="184"/>
      <c r="AM37" s="188">
        <f>IF(B37&lt;&gt;0,AM35,0)</f>
        <v>0</v>
      </c>
      <c r="AN37" s="189"/>
      <c r="AO37" s="189"/>
      <c r="AP37" s="189"/>
      <c r="AQ37" s="189"/>
      <c r="AR37" s="189"/>
      <c r="AS37" s="189"/>
      <c r="AT37" s="52"/>
    </row>
    <row r="38" spans="1:46" ht="13.5" customHeight="1">
      <c r="A38" s="61"/>
      <c r="B38" s="190"/>
      <c r="C38" s="190"/>
      <c r="D38" s="190"/>
      <c r="E38" s="190"/>
      <c r="F38" s="185"/>
      <c r="G38" s="186"/>
      <c r="H38" s="186"/>
      <c r="I38" s="186"/>
      <c r="J38" s="186"/>
      <c r="K38" s="187"/>
      <c r="L38" s="185"/>
      <c r="M38" s="187"/>
      <c r="N38" s="185"/>
      <c r="O38" s="187"/>
      <c r="P38" s="185"/>
      <c r="Q38" s="187"/>
      <c r="R38" s="185"/>
      <c r="S38" s="187"/>
      <c r="T38" s="185"/>
      <c r="U38" s="187"/>
      <c r="V38" s="185"/>
      <c r="W38" s="187"/>
      <c r="X38" s="185"/>
      <c r="Y38" s="186"/>
      <c r="Z38" s="187"/>
      <c r="AA38" s="185"/>
      <c r="AB38" s="186"/>
      <c r="AC38" s="187"/>
      <c r="AD38" s="185"/>
      <c r="AE38" s="186"/>
      <c r="AF38" s="187"/>
      <c r="AG38" s="185"/>
      <c r="AH38" s="186"/>
      <c r="AI38" s="187"/>
      <c r="AJ38" s="185"/>
      <c r="AK38" s="186"/>
      <c r="AL38" s="187"/>
      <c r="AM38" s="189"/>
      <c r="AN38" s="189"/>
      <c r="AO38" s="189"/>
      <c r="AP38" s="189"/>
      <c r="AQ38" s="189"/>
      <c r="AR38" s="189"/>
      <c r="AS38" s="189"/>
      <c r="AT38" s="52"/>
    </row>
    <row r="39" spans="1:46" ht="13.5" customHeight="1">
      <c r="A39" s="61"/>
      <c r="B39" s="190">
        <f>DANE!B3</f>
        <v>0</v>
      </c>
      <c r="C39" s="190"/>
      <c r="D39" s="190">
        <f t="shared" ref="D39" si="1">IF(B39&lt;&gt;0,D37,0)</f>
        <v>0</v>
      </c>
      <c r="E39" s="190"/>
      <c r="F39" s="182">
        <f t="shared" ref="F39" si="2">IF(D39&lt;&gt;0,F37,0)</f>
        <v>0</v>
      </c>
      <c r="G39" s="183"/>
      <c r="H39" s="183"/>
      <c r="I39" s="183"/>
      <c r="J39" s="183"/>
      <c r="K39" s="184"/>
      <c r="L39" s="182">
        <f t="shared" ref="L39" si="3">IF(B39&lt;&gt;0,L37,0)</f>
        <v>0</v>
      </c>
      <c r="M39" s="184"/>
      <c r="N39" s="182">
        <f t="shared" ref="N39" si="4">IF(B39&lt;&gt;0,N37,0)</f>
        <v>0</v>
      </c>
      <c r="O39" s="184"/>
      <c r="P39" s="182">
        <f t="shared" ref="P39" si="5">IF(B39&lt;&gt;0,P37,0)</f>
        <v>0</v>
      </c>
      <c r="Q39" s="184"/>
      <c r="R39" s="182">
        <f t="shared" ref="R39" si="6">IF(B39&lt;&gt;0,R37,0)</f>
        <v>0</v>
      </c>
      <c r="S39" s="184"/>
      <c r="T39" s="182">
        <f t="shared" ref="T39" si="7">IF(B39&lt;&gt;0,V37,0)</f>
        <v>0</v>
      </c>
      <c r="U39" s="184"/>
      <c r="V39" s="182">
        <f t="shared" ref="V39" si="8">IF(B39&lt;&gt;0,V37,0)</f>
        <v>0</v>
      </c>
      <c r="W39" s="184"/>
      <c r="X39" s="182">
        <f t="shared" ref="X39" si="9">IF(B39&lt;&gt;0,X37,0)</f>
        <v>0</v>
      </c>
      <c r="Y39" s="183"/>
      <c r="Z39" s="184"/>
      <c r="AA39" s="182">
        <f t="shared" ref="AA39" si="10">IF(B39&lt;&gt;0,AA37,0)</f>
        <v>0</v>
      </c>
      <c r="AB39" s="183"/>
      <c r="AC39" s="184"/>
      <c r="AD39" s="182">
        <f t="shared" ref="AD39" si="11">IF(B39&lt;&gt;0,AD37,0)</f>
        <v>0</v>
      </c>
      <c r="AE39" s="183"/>
      <c r="AF39" s="184"/>
      <c r="AG39" s="182">
        <f t="shared" ref="AG39" si="12">IF(B39&lt;&gt;0,AG37,0)</f>
        <v>0</v>
      </c>
      <c r="AH39" s="183"/>
      <c r="AI39" s="184"/>
      <c r="AJ39" s="182">
        <f t="shared" ref="AJ39" si="13">IF(B39&lt;&gt;0,AJ37,0)</f>
        <v>0</v>
      </c>
      <c r="AK39" s="183"/>
      <c r="AL39" s="184"/>
      <c r="AM39" s="188">
        <f t="shared" ref="AM39" si="14">IF(B39&lt;&gt;0,AM37,0)</f>
        <v>0</v>
      </c>
      <c r="AN39" s="189"/>
      <c r="AO39" s="189"/>
      <c r="AP39" s="189"/>
      <c r="AQ39" s="189"/>
      <c r="AR39" s="189"/>
      <c r="AS39" s="189"/>
      <c r="AT39" s="52"/>
    </row>
    <row r="40" spans="1:46" ht="13.5" customHeight="1">
      <c r="A40" s="56"/>
      <c r="B40" s="190"/>
      <c r="C40" s="190"/>
      <c r="D40" s="190"/>
      <c r="E40" s="190"/>
      <c r="F40" s="185"/>
      <c r="G40" s="186"/>
      <c r="H40" s="186"/>
      <c r="I40" s="186"/>
      <c r="J40" s="186"/>
      <c r="K40" s="187"/>
      <c r="L40" s="185"/>
      <c r="M40" s="187"/>
      <c r="N40" s="185"/>
      <c r="O40" s="187"/>
      <c r="P40" s="185"/>
      <c r="Q40" s="187"/>
      <c r="R40" s="185"/>
      <c r="S40" s="187"/>
      <c r="T40" s="185"/>
      <c r="U40" s="187"/>
      <c r="V40" s="185"/>
      <c r="W40" s="187"/>
      <c r="X40" s="185"/>
      <c r="Y40" s="186"/>
      <c r="Z40" s="187"/>
      <c r="AA40" s="185"/>
      <c r="AB40" s="186"/>
      <c r="AC40" s="187"/>
      <c r="AD40" s="185"/>
      <c r="AE40" s="186"/>
      <c r="AF40" s="187"/>
      <c r="AG40" s="185"/>
      <c r="AH40" s="186"/>
      <c r="AI40" s="187"/>
      <c r="AJ40" s="185"/>
      <c r="AK40" s="186"/>
      <c r="AL40" s="187"/>
      <c r="AM40" s="189"/>
      <c r="AN40" s="189"/>
      <c r="AO40" s="189"/>
      <c r="AP40" s="189"/>
      <c r="AQ40" s="189"/>
      <c r="AR40" s="189"/>
      <c r="AS40" s="189"/>
      <c r="AT40" s="52"/>
    </row>
    <row r="41" spans="1:46" ht="13.5" customHeight="1">
      <c r="A41" s="56"/>
      <c r="B41" s="190">
        <f>DANE!B4</f>
        <v>0</v>
      </c>
      <c r="C41" s="190"/>
      <c r="D41" s="190">
        <f t="shared" ref="D41" si="15">IF(B41&lt;&gt;0,D39,0)</f>
        <v>0</v>
      </c>
      <c r="E41" s="190"/>
      <c r="F41" s="182">
        <f t="shared" ref="F41" si="16">IF(D41&lt;&gt;0,F39,0)</f>
        <v>0</v>
      </c>
      <c r="G41" s="183"/>
      <c r="H41" s="183"/>
      <c r="I41" s="183"/>
      <c r="J41" s="183"/>
      <c r="K41" s="184"/>
      <c r="L41" s="182">
        <f t="shared" ref="L41" si="17">IF(B41&lt;&gt;0,L39,0)</f>
        <v>0</v>
      </c>
      <c r="M41" s="184"/>
      <c r="N41" s="182">
        <f t="shared" ref="N41" si="18">IF(B41&lt;&gt;0,N39,0)</f>
        <v>0</v>
      </c>
      <c r="O41" s="184"/>
      <c r="P41" s="182">
        <f t="shared" ref="P41" si="19">IF(B41&lt;&gt;0,P39,0)</f>
        <v>0</v>
      </c>
      <c r="Q41" s="184"/>
      <c r="R41" s="182">
        <f t="shared" ref="R41" si="20">IF(B41&lt;&gt;0,R39,0)</f>
        <v>0</v>
      </c>
      <c r="S41" s="184"/>
      <c r="T41" s="182">
        <f t="shared" ref="T41" si="21">IF(B41&lt;&gt;0,V39,0)</f>
        <v>0</v>
      </c>
      <c r="U41" s="184"/>
      <c r="V41" s="182">
        <f t="shared" ref="V41" si="22">IF(B41&lt;&gt;0,V39,0)</f>
        <v>0</v>
      </c>
      <c r="W41" s="184"/>
      <c r="X41" s="182">
        <f t="shared" ref="X41" si="23">IF(B41&lt;&gt;0,X39,0)</f>
        <v>0</v>
      </c>
      <c r="Y41" s="183"/>
      <c r="Z41" s="184"/>
      <c r="AA41" s="182">
        <f t="shared" ref="AA41" si="24">IF(B41&lt;&gt;0,AA39,0)</f>
        <v>0</v>
      </c>
      <c r="AB41" s="183"/>
      <c r="AC41" s="184"/>
      <c r="AD41" s="182">
        <f t="shared" ref="AD41" si="25">IF(B41&lt;&gt;0,AD39,0)</f>
        <v>0</v>
      </c>
      <c r="AE41" s="183"/>
      <c r="AF41" s="184"/>
      <c r="AG41" s="182">
        <f t="shared" ref="AG41" si="26">IF(B41&lt;&gt;0,AG39,0)</f>
        <v>0</v>
      </c>
      <c r="AH41" s="183"/>
      <c r="AI41" s="184"/>
      <c r="AJ41" s="182">
        <f t="shared" ref="AJ41" si="27">IF(B41&lt;&gt;0,AJ39,0)</f>
        <v>0</v>
      </c>
      <c r="AK41" s="183"/>
      <c r="AL41" s="184"/>
      <c r="AM41" s="188">
        <f t="shared" ref="AM41" si="28">IF(B41&lt;&gt;0,AM39,0)</f>
        <v>0</v>
      </c>
      <c r="AN41" s="189"/>
      <c r="AO41" s="189"/>
      <c r="AP41" s="189"/>
      <c r="AQ41" s="189"/>
      <c r="AR41" s="189"/>
      <c r="AS41" s="189"/>
      <c r="AT41" s="52"/>
    </row>
    <row r="42" spans="1:46" ht="13.5" customHeight="1">
      <c r="A42" s="62"/>
      <c r="B42" s="190"/>
      <c r="C42" s="190"/>
      <c r="D42" s="190"/>
      <c r="E42" s="190"/>
      <c r="F42" s="185"/>
      <c r="G42" s="186"/>
      <c r="H42" s="186"/>
      <c r="I42" s="186"/>
      <c r="J42" s="186"/>
      <c r="K42" s="187"/>
      <c r="L42" s="185"/>
      <c r="M42" s="187"/>
      <c r="N42" s="185"/>
      <c r="O42" s="187"/>
      <c r="P42" s="185"/>
      <c r="Q42" s="187"/>
      <c r="R42" s="185"/>
      <c r="S42" s="187"/>
      <c r="T42" s="185"/>
      <c r="U42" s="187"/>
      <c r="V42" s="185"/>
      <c r="W42" s="187"/>
      <c r="X42" s="185"/>
      <c r="Y42" s="186"/>
      <c r="Z42" s="187"/>
      <c r="AA42" s="185"/>
      <c r="AB42" s="186"/>
      <c r="AC42" s="187"/>
      <c r="AD42" s="185"/>
      <c r="AE42" s="186"/>
      <c r="AF42" s="187"/>
      <c r="AG42" s="185"/>
      <c r="AH42" s="186"/>
      <c r="AI42" s="187"/>
      <c r="AJ42" s="185"/>
      <c r="AK42" s="186"/>
      <c r="AL42" s="187"/>
      <c r="AM42" s="189"/>
      <c r="AN42" s="189"/>
      <c r="AO42" s="189"/>
      <c r="AP42" s="189"/>
      <c r="AQ42" s="189"/>
      <c r="AR42" s="189"/>
      <c r="AS42" s="189"/>
      <c r="AT42" s="52"/>
    </row>
    <row r="43" spans="1:46" ht="13.5" customHeight="1">
      <c r="A43" s="62"/>
      <c r="B43" s="190">
        <f>DANE!B5</f>
        <v>0</v>
      </c>
      <c r="C43" s="190"/>
      <c r="D43" s="190">
        <f t="shared" ref="D43" si="29">IF(B43&lt;&gt;0,D41,0)</f>
        <v>0</v>
      </c>
      <c r="E43" s="190"/>
      <c r="F43" s="182">
        <f t="shared" ref="F43" si="30">IF(D43&lt;&gt;0,F41,0)</f>
        <v>0</v>
      </c>
      <c r="G43" s="183"/>
      <c r="H43" s="183"/>
      <c r="I43" s="183"/>
      <c r="J43" s="183"/>
      <c r="K43" s="184"/>
      <c r="L43" s="182">
        <f t="shared" ref="L43" si="31">IF(B43&lt;&gt;0,L41,0)</f>
        <v>0</v>
      </c>
      <c r="M43" s="184"/>
      <c r="N43" s="182">
        <f t="shared" ref="N43" si="32">IF(B43&lt;&gt;0,N41,0)</f>
        <v>0</v>
      </c>
      <c r="O43" s="184"/>
      <c r="P43" s="182">
        <f t="shared" ref="P43" si="33">IF(B43&lt;&gt;0,P41,0)</f>
        <v>0</v>
      </c>
      <c r="Q43" s="184"/>
      <c r="R43" s="182">
        <f t="shared" ref="R43" si="34">IF(B43&lt;&gt;0,R41,0)</f>
        <v>0</v>
      </c>
      <c r="S43" s="184"/>
      <c r="T43" s="182">
        <f t="shared" ref="T43" si="35">IF(B43&lt;&gt;0,V41,0)</f>
        <v>0</v>
      </c>
      <c r="U43" s="184"/>
      <c r="V43" s="182">
        <f t="shared" ref="V43" si="36">IF(B43&lt;&gt;0,V41,0)</f>
        <v>0</v>
      </c>
      <c r="W43" s="184"/>
      <c r="X43" s="182">
        <f t="shared" ref="X43" si="37">IF(B43&lt;&gt;0,X41,0)</f>
        <v>0</v>
      </c>
      <c r="Y43" s="183"/>
      <c r="Z43" s="184"/>
      <c r="AA43" s="182">
        <f t="shared" ref="AA43" si="38">IF(B43&lt;&gt;0,AA41,0)</f>
        <v>0</v>
      </c>
      <c r="AB43" s="183"/>
      <c r="AC43" s="184"/>
      <c r="AD43" s="182">
        <f t="shared" ref="AD43" si="39">IF(B43&lt;&gt;0,AD41,0)</f>
        <v>0</v>
      </c>
      <c r="AE43" s="183"/>
      <c r="AF43" s="184"/>
      <c r="AG43" s="182">
        <f t="shared" ref="AG43" si="40">IF(B43&lt;&gt;0,AG41,0)</f>
        <v>0</v>
      </c>
      <c r="AH43" s="183"/>
      <c r="AI43" s="184"/>
      <c r="AJ43" s="182">
        <f t="shared" ref="AJ43" si="41">IF(B43&lt;&gt;0,AJ41,0)</f>
        <v>0</v>
      </c>
      <c r="AK43" s="183"/>
      <c r="AL43" s="184"/>
      <c r="AM43" s="188">
        <f t="shared" ref="AM43" si="42">IF(B43&lt;&gt;0,AM41,0)</f>
        <v>0</v>
      </c>
      <c r="AN43" s="189"/>
      <c r="AO43" s="189"/>
      <c r="AP43" s="189"/>
      <c r="AQ43" s="189"/>
      <c r="AR43" s="189"/>
      <c r="AS43" s="189"/>
      <c r="AT43" s="52"/>
    </row>
    <row r="44" spans="1:46" ht="13.5" customHeight="1">
      <c r="A44" s="62"/>
      <c r="B44" s="190"/>
      <c r="C44" s="190"/>
      <c r="D44" s="190"/>
      <c r="E44" s="190"/>
      <c r="F44" s="185"/>
      <c r="G44" s="186"/>
      <c r="H44" s="186"/>
      <c r="I44" s="186"/>
      <c r="J44" s="186"/>
      <c r="K44" s="187"/>
      <c r="L44" s="185"/>
      <c r="M44" s="187"/>
      <c r="N44" s="185"/>
      <c r="O44" s="187"/>
      <c r="P44" s="185"/>
      <c r="Q44" s="187"/>
      <c r="R44" s="185"/>
      <c r="S44" s="187"/>
      <c r="T44" s="185"/>
      <c r="U44" s="187"/>
      <c r="V44" s="185"/>
      <c r="W44" s="187"/>
      <c r="X44" s="185"/>
      <c r="Y44" s="186"/>
      <c r="Z44" s="187"/>
      <c r="AA44" s="185"/>
      <c r="AB44" s="186"/>
      <c r="AC44" s="187"/>
      <c r="AD44" s="185"/>
      <c r="AE44" s="186"/>
      <c r="AF44" s="187"/>
      <c r="AG44" s="185"/>
      <c r="AH44" s="186"/>
      <c r="AI44" s="187"/>
      <c r="AJ44" s="185"/>
      <c r="AK44" s="186"/>
      <c r="AL44" s="187"/>
      <c r="AM44" s="189"/>
      <c r="AN44" s="189"/>
      <c r="AO44" s="189"/>
      <c r="AP44" s="189"/>
      <c r="AQ44" s="189"/>
      <c r="AR44" s="189"/>
      <c r="AS44" s="189"/>
      <c r="AT44" s="52"/>
    </row>
    <row r="45" spans="1:46" ht="13.5" customHeight="1">
      <c r="A45" s="62"/>
      <c r="B45" s="190">
        <f>DANE!B6</f>
        <v>0</v>
      </c>
      <c r="C45" s="190"/>
      <c r="D45" s="190">
        <f t="shared" ref="D45" si="43">IF(B45&lt;&gt;0,D43,0)</f>
        <v>0</v>
      </c>
      <c r="E45" s="190"/>
      <c r="F45" s="182">
        <f t="shared" ref="F45" si="44">IF(D45&lt;&gt;0,F43,0)</f>
        <v>0</v>
      </c>
      <c r="G45" s="183"/>
      <c r="H45" s="183"/>
      <c r="I45" s="183"/>
      <c r="J45" s="183"/>
      <c r="K45" s="184"/>
      <c r="L45" s="182">
        <f t="shared" ref="L45" si="45">IF(B45&lt;&gt;0,L43,0)</f>
        <v>0</v>
      </c>
      <c r="M45" s="184"/>
      <c r="N45" s="182">
        <f t="shared" ref="N45" si="46">IF(B45&lt;&gt;0,N43,0)</f>
        <v>0</v>
      </c>
      <c r="O45" s="184"/>
      <c r="P45" s="182">
        <f t="shared" ref="P45" si="47">IF(B45&lt;&gt;0,P43,0)</f>
        <v>0</v>
      </c>
      <c r="Q45" s="184"/>
      <c r="R45" s="182">
        <f t="shared" ref="R45" si="48">IF(B45&lt;&gt;0,R43,0)</f>
        <v>0</v>
      </c>
      <c r="S45" s="184"/>
      <c r="T45" s="182">
        <f t="shared" ref="T45" si="49">IF(B45&lt;&gt;0,V43,0)</f>
        <v>0</v>
      </c>
      <c r="U45" s="184"/>
      <c r="V45" s="182">
        <f t="shared" ref="V45" si="50">IF(B45&lt;&gt;0,V43,0)</f>
        <v>0</v>
      </c>
      <c r="W45" s="184"/>
      <c r="X45" s="182">
        <f t="shared" ref="X45" si="51">IF(B45&lt;&gt;0,X43,0)</f>
        <v>0</v>
      </c>
      <c r="Y45" s="183"/>
      <c r="Z45" s="184"/>
      <c r="AA45" s="182">
        <f t="shared" ref="AA45" si="52">IF(B45&lt;&gt;0,AA43,0)</f>
        <v>0</v>
      </c>
      <c r="AB45" s="183"/>
      <c r="AC45" s="184"/>
      <c r="AD45" s="182">
        <f t="shared" ref="AD45" si="53">IF(B45&lt;&gt;0,AD43,0)</f>
        <v>0</v>
      </c>
      <c r="AE45" s="183"/>
      <c r="AF45" s="184"/>
      <c r="AG45" s="182">
        <f t="shared" ref="AG45" si="54">IF(B45&lt;&gt;0,AG43,0)</f>
        <v>0</v>
      </c>
      <c r="AH45" s="183"/>
      <c r="AI45" s="184"/>
      <c r="AJ45" s="182">
        <f t="shared" ref="AJ45" si="55">IF(B45&lt;&gt;0,AJ43,0)</f>
        <v>0</v>
      </c>
      <c r="AK45" s="183"/>
      <c r="AL45" s="184"/>
      <c r="AM45" s="188">
        <f t="shared" ref="AM45" si="56">IF(B45&lt;&gt;0,AM43,0)</f>
        <v>0</v>
      </c>
      <c r="AN45" s="189"/>
      <c r="AO45" s="189"/>
      <c r="AP45" s="189"/>
      <c r="AQ45" s="189"/>
      <c r="AR45" s="189"/>
      <c r="AS45" s="189"/>
      <c r="AT45" s="52"/>
    </row>
    <row r="46" spans="1:46" ht="13.5" customHeight="1">
      <c r="A46" s="56"/>
      <c r="B46" s="190"/>
      <c r="C46" s="190"/>
      <c r="D46" s="190"/>
      <c r="E46" s="190"/>
      <c r="F46" s="185"/>
      <c r="G46" s="186"/>
      <c r="H46" s="186"/>
      <c r="I46" s="186"/>
      <c r="J46" s="186"/>
      <c r="K46" s="187"/>
      <c r="L46" s="185"/>
      <c r="M46" s="187"/>
      <c r="N46" s="185"/>
      <c r="O46" s="187"/>
      <c r="P46" s="185"/>
      <c r="Q46" s="187"/>
      <c r="R46" s="185"/>
      <c r="S46" s="187"/>
      <c r="T46" s="185"/>
      <c r="U46" s="187"/>
      <c r="V46" s="185"/>
      <c r="W46" s="187"/>
      <c r="X46" s="185"/>
      <c r="Y46" s="186"/>
      <c r="Z46" s="187"/>
      <c r="AA46" s="185"/>
      <c r="AB46" s="186"/>
      <c r="AC46" s="187"/>
      <c r="AD46" s="185"/>
      <c r="AE46" s="186"/>
      <c r="AF46" s="187"/>
      <c r="AG46" s="185"/>
      <c r="AH46" s="186"/>
      <c r="AI46" s="187"/>
      <c r="AJ46" s="185"/>
      <c r="AK46" s="186"/>
      <c r="AL46" s="187"/>
      <c r="AM46" s="189"/>
      <c r="AN46" s="189"/>
      <c r="AO46" s="189"/>
      <c r="AP46" s="189"/>
      <c r="AQ46" s="189"/>
      <c r="AR46" s="189"/>
      <c r="AS46" s="189"/>
      <c r="AT46" s="52"/>
    </row>
    <row r="47" spans="1:46" ht="13.5" customHeight="1">
      <c r="A47" s="63"/>
      <c r="B47" s="190">
        <f>DANE!B7</f>
        <v>0</v>
      </c>
      <c r="C47" s="190"/>
      <c r="D47" s="190">
        <f t="shared" ref="D47" si="57">IF(B47&lt;&gt;0,D45,0)</f>
        <v>0</v>
      </c>
      <c r="E47" s="190"/>
      <c r="F47" s="182">
        <f t="shared" ref="F47" si="58">IF(D47&lt;&gt;0,F45,0)</f>
        <v>0</v>
      </c>
      <c r="G47" s="183"/>
      <c r="H47" s="183"/>
      <c r="I47" s="183"/>
      <c r="J47" s="183"/>
      <c r="K47" s="184"/>
      <c r="L47" s="182">
        <f t="shared" ref="L47" si="59">IF(B47&lt;&gt;0,L45,0)</f>
        <v>0</v>
      </c>
      <c r="M47" s="184"/>
      <c r="N47" s="182">
        <f t="shared" ref="N47" si="60">IF(B47&lt;&gt;0,N45,0)</f>
        <v>0</v>
      </c>
      <c r="O47" s="184"/>
      <c r="P47" s="182">
        <f t="shared" ref="P47" si="61">IF(B47&lt;&gt;0,P45,0)</f>
        <v>0</v>
      </c>
      <c r="Q47" s="184"/>
      <c r="R47" s="182">
        <f t="shared" ref="R47" si="62">IF(B47&lt;&gt;0,R45,0)</f>
        <v>0</v>
      </c>
      <c r="S47" s="184"/>
      <c r="T47" s="182">
        <f t="shared" ref="T47" si="63">IF(B47&lt;&gt;0,V45,0)</f>
        <v>0</v>
      </c>
      <c r="U47" s="184"/>
      <c r="V47" s="182">
        <f t="shared" ref="V47" si="64">IF(B47&lt;&gt;0,V45,0)</f>
        <v>0</v>
      </c>
      <c r="W47" s="184"/>
      <c r="X47" s="182">
        <f t="shared" ref="X47" si="65">IF(B47&lt;&gt;0,X45,0)</f>
        <v>0</v>
      </c>
      <c r="Y47" s="183"/>
      <c r="Z47" s="184"/>
      <c r="AA47" s="182">
        <f t="shared" ref="AA47" si="66">IF(B47&lt;&gt;0,AA45,0)</f>
        <v>0</v>
      </c>
      <c r="AB47" s="183"/>
      <c r="AC47" s="184"/>
      <c r="AD47" s="182">
        <f t="shared" ref="AD47" si="67">IF(B47&lt;&gt;0,AD45,0)</f>
        <v>0</v>
      </c>
      <c r="AE47" s="183"/>
      <c r="AF47" s="184"/>
      <c r="AG47" s="182">
        <f t="shared" ref="AG47" si="68">IF(B47&lt;&gt;0,AG45,0)</f>
        <v>0</v>
      </c>
      <c r="AH47" s="183"/>
      <c r="AI47" s="184"/>
      <c r="AJ47" s="182">
        <f t="shared" ref="AJ47" si="69">IF(B47&lt;&gt;0,AJ45,0)</f>
        <v>0</v>
      </c>
      <c r="AK47" s="183"/>
      <c r="AL47" s="184"/>
      <c r="AM47" s="188">
        <f t="shared" ref="AM47" si="70">IF(B47&lt;&gt;0,AM45,0)</f>
        <v>0</v>
      </c>
      <c r="AN47" s="189"/>
      <c r="AO47" s="189"/>
      <c r="AP47" s="189"/>
      <c r="AQ47" s="189"/>
      <c r="AR47" s="189"/>
      <c r="AS47" s="189"/>
      <c r="AT47" s="52"/>
    </row>
    <row r="48" spans="1:46" ht="13.5" customHeight="1">
      <c r="A48" s="56"/>
      <c r="B48" s="190"/>
      <c r="C48" s="190"/>
      <c r="D48" s="190"/>
      <c r="E48" s="190"/>
      <c r="F48" s="185"/>
      <c r="G48" s="186"/>
      <c r="H48" s="186"/>
      <c r="I48" s="186"/>
      <c r="J48" s="186"/>
      <c r="K48" s="187"/>
      <c r="L48" s="185"/>
      <c r="M48" s="187"/>
      <c r="N48" s="185"/>
      <c r="O48" s="187"/>
      <c r="P48" s="185"/>
      <c r="Q48" s="187"/>
      <c r="R48" s="185"/>
      <c r="S48" s="187"/>
      <c r="T48" s="185"/>
      <c r="U48" s="187"/>
      <c r="V48" s="185"/>
      <c r="W48" s="187"/>
      <c r="X48" s="185"/>
      <c r="Y48" s="186"/>
      <c r="Z48" s="187"/>
      <c r="AA48" s="185"/>
      <c r="AB48" s="186"/>
      <c r="AC48" s="187"/>
      <c r="AD48" s="185"/>
      <c r="AE48" s="186"/>
      <c r="AF48" s="187"/>
      <c r="AG48" s="185"/>
      <c r="AH48" s="186"/>
      <c r="AI48" s="187"/>
      <c r="AJ48" s="185"/>
      <c r="AK48" s="186"/>
      <c r="AL48" s="187"/>
      <c r="AM48" s="189"/>
      <c r="AN48" s="189"/>
      <c r="AO48" s="189"/>
      <c r="AP48" s="189"/>
      <c r="AQ48" s="189"/>
      <c r="AR48" s="189"/>
      <c r="AS48" s="189"/>
      <c r="AT48" s="52"/>
    </row>
    <row r="49" spans="1:46" ht="13.5" customHeight="1">
      <c r="A49" s="64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52"/>
    </row>
    <row r="50" spans="1:46" ht="13.5" customHeight="1">
      <c r="A50" s="65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52"/>
    </row>
    <row r="51" spans="1:46" ht="13.5" customHeight="1">
      <c r="A51" s="64"/>
      <c r="B51" s="248" t="s">
        <v>122</v>
      </c>
      <c r="C51" s="249"/>
      <c r="D51" s="249"/>
      <c r="E51" s="249"/>
      <c r="F51" s="249"/>
      <c r="G51" s="249"/>
      <c r="H51" s="249"/>
      <c r="I51" s="249"/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50"/>
      <c r="AT51" s="52"/>
    </row>
    <row r="52" spans="1:46" ht="13.5" customHeight="1">
      <c r="A52" s="65"/>
      <c r="B52" s="251"/>
      <c r="C52" s="252"/>
      <c r="D52" s="252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  <c r="AA52" s="252"/>
      <c r="AB52" s="252"/>
      <c r="AC52" s="252"/>
      <c r="AD52" s="252"/>
      <c r="AE52" s="252"/>
      <c r="AF52" s="252"/>
      <c r="AG52" s="252"/>
      <c r="AH52" s="252"/>
      <c r="AI52" s="252"/>
      <c r="AJ52" s="252"/>
      <c r="AK52" s="252"/>
      <c r="AL52" s="252"/>
      <c r="AM52" s="252"/>
      <c r="AN52" s="252"/>
      <c r="AO52" s="252"/>
      <c r="AP52" s="252"/>
      <c r="AQ52" s="252"/>
      <c r="AR52" s="252"/>
      <c r="AS52" s="253"/>
      <c r="AT52" s="52"/>
    </row>
    <row r="53" spans="1:46" ht="13.5" customHeight="1">
      <c r="A53" s="65"/>
      <c r="B53" s="18"/>
      <c r="E53" s="114"/>
      <c r="F53" s="114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14"/>
      <c r="AS53" s="95"/>
      <c r="AT53" s="52"/>
    </row>
    <row r="54" spans="1:46" ht="13.5" customHeight="1">
      <c r="A54" s="65"/>
      <c r="B54" s="5"/>
      <c r="C54" s="78"/>
      <c r="D54" s="78"/>
      <c r="E54" s="78"/>
      <c r="F54" s="78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80"/>
      <c r="AQ54" s="80"/>
      <c r="AR54" s="80"/>
      <c r="AS54" s="6"/>
      <c r="AT54" s="52"/>
    </row>
    <row r="55" spans="1:46" ht="13.5" customHeight="1">
      <c r="A55" s="65"/>
      <c r="B55" s="99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81"/>
      <c r="AQ55" s="81"/>
      <c r="AR55" s="81"/>
      <c r="AS55" s="96"/>
      <c r="AT55" s="52"/>
    </row>
    <row r="56" spans="1:46" ht="13.5" customHeight="1">
      <c r="A56" s="65"/>
      <c r="B56" s="5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81"/>
      <c r="AQ56" s="81"/>
      <c r="AR56" s="81"/>
      <c r="AS56" s="96"/>
      <c r="AT56" s="52"/>
    </row>
    <row r="57" spans="1:46" ht="13.5" customHeight="1">
      <c r="A57" s="65"/>
      <c r="B57" s="9"/>
      <c r="C57" s="97"/>
      <c r="D57" s="97"/>
      <c r="E57" s="97"/>
      <c r="F57" s="97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97"/>
      <c r="AQ57" s="97"/>
      <c r="AR57" s="97"/>
      <c r="AS57" s="98"/>
      <c r="AT57" s="52"/>
    </row>
    <row r="58" spans="1:46" ht="13.5" customHeight="1">
      <c r="A58" s="65"/>
      <c r="B58" s="18"/>
      <c r="C58" s="81"/>
      <c r="D58" s="81"/>
      <c r="E58" s="81"/>
      <c r="F58" s="81"/>
      <c r="G58" s="81"/>
      <c r="H58" s="81"/>
      <c r="I58" s="81"/>
      <c r="J58" s="81"/>
      <c r="K58" s="81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14"/>
      <c r="AD58" s="14"/>
      <c r="AE58" s="14"/>
      <c r="AF58" s="14"/>
      <c r="AG58" s="14"/>
      <c r="AH58" s="14"/>
      <c r="AI58" s="14"/>
      <c r="AS58" s="6"/>
      <c r="AT58" s="52"/>
    </row>
    <row r="59" spans="1:46" ht="13.5" customHeight="1">
      <c r="A59" s="65"/>
      <c r="B59" s="18"/>
      <c r="C59" s="1"/>
      <c r="D59" s="2"/>
      <c r="E59" s="174" t="s">
        <v>123</v>
      </c>
      <c r="F59" s="174"/>
      <c r="G59" s="174"/>
      <c r="H59" s="174"/>
      <c r="I59" s="174"/>
      <c r="J59" s="174"/>
      <c r="K59" s="174"/>
      <c r="L59" s="174"/>
      <c r="M59" s="2"/>
      <c r="N59" s="3"/>
      <c r="O59" s="80"/>
      <c r="P59" s="80"/>
      <c r="Q59" s="80"/>
      <c r="R59" s="80"/>
      <c r="S59" s="80"/>
      <c r="T59" s="80"/>
      <c r="U59"/>
      <c r="V59" s="80"/>
      <c r="W59" s="80"/>
      <c r="X59" s="80"/>
      <c r="Y59" s="80"/>
      <c r="Z59" s="80"/>
      <c r="AA59" s="80"/>
      <c r="AB59" s="80"/>
      <c r="AC59" s="14"/>
      <c r="AD59" s="14"/>
      <c r="AE59" s="14"/>
      <c r="AF59" s="14"/>
      <c r="AG59" s="1"/>
      <c r="AH59" s="2"/>
      <c r="AI59" s="174" t="s">
        <v>124</v>
      </c>
      <c r="AJ59" s="174"/>
      <c r="AK59" s="174"/>
      <c r="AL59" s="174"/>
      <c r="AM59" s="174"/>
      <c r="AN59" s="174"/>
      <c r="AO59" s="174"/>
      <c r="AP59" s="174"/>
      <c r="AQ59" s="2"/>
      <c r="AR59" s="3"/>
      <c r="AS59" s="6"/>
      <c r="AT59" s="52"/>
    </row>
    <row r="60" spans="1:46" ht="13.5" customHeight="1">
      <c r="A60" s="65"/>
      <c r="B60" s="18"/>
      <c r="C60" s="5"/>
      <c r="N60" s="6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5"/>
      <c r="AR60" s="6"/>
      <c r="AS60" s="95"/>
      <c r="AT60" s="52"/>
    </row>
    <row r="61" spans="1:46" ht="13.5" customHeight="1">
      <c r="A61" s="65"/>
      <c r="B61" s="18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S61" s="95"/>
      <c r="AT61" s="52"/>
    </row>
    <row r="62" spans="1:46" ht="13.5" customHeight="1">
      <c r="A62" s="65"/>
      <c r="B62" s="18"/>
      <c r="C62" s="5"/>
      <c r="N62" s="6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5"/>
      <c r="AR62" s="6"/>
      <c r="AS62" s="95"/>
      <c r="AT62" s="52"/>
    </row>
    <row r="63" spans="1:46" ht="13.5" customHeight="1">
      <c r="A63" s="65"/>
      <c r="B63" s="18"/>
      <c r="C63" s="9"/>
      <c r="D63" s="10"/>
      <c r="E63" s="176" t="s">
        <v>125</v>
      </c>
      <c r="F63" s="176"/>
      <c r="G63" s="176"/>
      <c r="H63" s="176"/>
      <c r="I63" s="176"/>
      <c r="J63" s="176"/>
      <c r="K63" s="176"/>
      <c r="L63" s="176"/>
      <c r="M63" s="10"/>
      <c r="N63" s="11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9"/>
      <c r="AH63" s="10"/>
      <c r="AI63" s="176" t="s">
        <v>126</v>
      </c>
      <c r="AJ63" s="176"/>
      <c r="AK63" s="176"/>
      <c r="AL63" s="176"/>
      <c r="AM63" s="176"/>
      <c r="AN63" s="176"/>
      <c r="AO63" s="176"/>
      <c r="AP63" s="176"/>
      <c r="AQ63" s="10"/>
      <c r="AR63" s="11"/>
      <c r="AS63" s="95"/>
      <c r="AT63" s="52"/>
    </row>
    <row r="64" spans="1:46" ht="13.5" customHeight="1">
      <c r="A64" s="65"/>
      <c r="B64" s="5"/>
      <c r="C64" s="78"/>
      <c r="D64" s="78"/>
      <c r="E64" s="78"/>
      <c r="F64" s="78"/>
      <c r="G64" s="78"/>
      <c r="H64" s="78"/>
      <c r="I64" s="78"/>
      <c r="J64" s="78"/>
      <c r="K64" s="78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6"/>
      <c r="AT64" s="52"/>
    </row>
    <row r="65" spans="1:46" ht="13.5" customHeight="1">
      <c r="A65" s="65"/>
      <c r="B65" s="99"/>
      <c r="E65" s="123" t="s">
        <v>127</v>
      </c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2" t="s">
        <v>128</v>
      </c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96"/>
      <c r="AT65" s="52"/>
    </row>
    <row r="66" spans="1:46" ht="13.5" customHeight="1">
      <c r="A66" s="55"/>
      <c r="B66" s="5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96"/>
      <c r="AT66" s="52"/>
    </row>
    <row r="67" spans="1:46" ht="13.5" customHeight="1">
      <c r="A67" s="55"/>
      <c r="B67" s="9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8"/>
      <c r="AT67" s="52"/>
    </row>
    <row r="68" spans="1:46" ht="13.5" customHeight="1">
      <c r="A68" s="55"/>
      <c r="B68" s="234" t="s">
        <v>129</v>
      </c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/>
      <c r="AS68" s="158"/>
      <c r="AT68" s="52"/>
    </row>
    <row r="69" spans="1:46" ht="13.5" customHeight="1" thickBot="1">
      <c r="A69" s="55"/>
      <c r="B69" s="235"/>
      <c r="C69" s="235"/>
      <c r="D69" s="235"/>
      <c r="E69" s="235"/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  <c r="AA69" s="235"/>
      <c r="AB69" s="235"/>
      <c r="AC69" s="235"/>
      <c r="AD69" s="235"/>
      <c r="AE69" s="235"/>
      <c r="AF69" s="235"/>
      <c r="AG69" s="235"/>
      <c r="AH69" s="235"/>
      <c r="AI69" s="235"/>
      <c r="AJ69" s="235"/>
      <c r="AK69" s="235"/>
      <c r="AL69" s="235"/>
      <c r="AM69" s="235"/>
      <c r="AN69" s="235"/>
      <c r="AO69" s="235"/>
      <c r="AP69" s="235"/>
      <c r="AQ69" s="235"/>
      <c r="AR69" s="235"/>
      <c r="AS69" s="235"/>
      <c r="AT69" s="52"/>
    </row>
    <row r="70" spans="1:46" ht="13.5" customHeight="1">
      <c r="A70" s="65"/>
      <c r="B70" s="236"/>
      <c r="C70" s="236"/>
      <c r="D70" s="236"/>
      <c r="E70" s="236"/>
      <c r="F70" s="236"/>
      <c r="G70" s="236"/>
      <c r="H70" s="236"/>
      <c r="I70" s="236"/>
      <c r="J70" s="236"/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6"/>
      <c r="X70" s="236"/>
      <c r="Y70" s="236"/>
      <c r="Z70" s="236"/>
      <c r="AA70" s="236"/>
      <c r="AB70" s="236"/>
      <c r="AC70" s="236"/>
      <c r="AD70" s="236"/>
      <c r="AE70" s="236"/>
      <c r="AF70" s="236"/>
      <c r="AG70" s="236"/>
      <c r="AH70" s="236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  <c r="AS70" s="236"/>
      <c r="AT70" s="52"/>
    </row>
    <row r="71" spans="1:46" ht="16.5" customHeight="1">
      <c r="A71" s="66"/>
      <c r="B71" s="237" t="s">
        <v>130</v>
      </c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238"/>
      <c r="U71" s="238"/>
      <c r="V71" s="238"/>
      <c r="W71" s="238"/>
      <c r="X71" s="238"/>
      <c r="Y71" s="238"/>
      <c r="Z71" s="238"/>
      <c r="AA71" s="238"/>
      <c r="AB71" s="238"/>
      <c r="AC71" s="238"/>
      <c r="AD71" s="238"/>
      <c r="AE71" s="238"/>
      <c r="AF71" s="238"/>
      <c r="AG71" s="238"/>
      <c r="AH71" s="238"/>
      <c r="AI71" s="238"/>
      <c r="AJ71" s="238"/>
      <c r="AK71" s="238"/>
      <c r="AL71" s="238"/>
      <c r="AM71" s="238"/>
      <c r="AN71" s="238"/>
      <c r="AO71" s="238"/>
      <c r="AP71" s="238"/>
      <c r="AQ71" s="238"/>
      <c r="AR71" s="238"/>
      <c r="AS71" s="238"/>
      <c r="AT71" s="52"/>
    </row>
    <row r="72" spans="1:46" ht="13.5" customHeight="1">
      <c r="A72" s="66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238"/>
      <c r="U72" s="238"/>
      <c r="V72" s="238"/>
      <c r="W72" s="238"/>
      <c r="X72" s="238"/>
      <c r="Y72" s="238"/>
      <c r="Z72" s="238"/>
      <c r="AA72" s="238"/>
      <c r="AB72" s="238"/>
      <c r="AC72" s="238"/>
      <c r="AD72" s="238"/>
      <c r="AE72" s="238"/>
      <c r="AF72" s="238"/>
      <c r="AG72" s="238"/>
      <c r="AH72" s="238"/>
      <c r="AI72" s="238"/>
      <c r="AJ72" s="238"/>
      <c r="AK72" s="238"/>
      <c r="AL72" s="238"/>
      <c r="AM72" s="238"/>
      <c r="AN72" s="238"/>
      <c r="AO72" s="238"/>
      <c r="AP72" s="238"/>
      <c r="AQ72" s="238"/>
      <c r="AR72" s="238"/>
      <c r="AS72" s="238"/>
      <c r="AT72" s="52"/>
    </row>
    <row r="73" spans="1:46" ht="13.5" customHeight="1">
      <c r="A73" s="66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23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  <c r="AG73" s="238"/>
      <c r="AH73" s="238"/>
      <c r="AI73" s="238"/>
      <c r="AJ73" s="238"/>
      <c r="AK73" s="238"/>
      <c r="AL73" s="238"/>
      <c r="AM73" s="238"/>
      <c r="AN73" s="238"/>
      <c r="AO73" s="238"/>
      <c r="AP73" s="238"/>
      <c r="AQ73" s="238"/>
      <c r="AR73" s="238"/>
      <c r="AS73" s="238"/>
      <c r="AT73" s="52"/>
    </row>
    <row r="74" spans="1:46" ht="13.5" customHeight="1">
      <c r="A74" s="66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238"/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  <c r="AE74" s="238"/>
      <c r="AF74" s="238"/>
      <c r="AG74" s="238"/>
      <c r="AH74" s="238"/>
      <c r="AI74" s="238"/>
      <c r="AJ74" s="238"/>
      <c r="AK74" s="238"/>
      <c r="AL74" s="238"/>
      <c r="AM74" s="238"/>
      <c r="AN74" s="238"/>
      <c r="AO74" s="238"/>
      <c r="AP74" s="238"/>
      <c r="AQ74" s="238"/>
      <c r="AR74" s="238"/>
      <c r="AS74" s="238"/>
      <c r="AT74" s="52"/>
    </row>
    <row r="75" spans="1:46" ht="13.5" customHeight="1" thickBot="1">
      <c r="A75" s="67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68"/>
    </row>
    <row r="76" spans="1:46" ht="13.5" customHeight="1"/>
    <row r="77" spans="1:46" ht="13.5" customHeight="1"/>
    <row r="78" spans="1:46" ht="13.5" customHeight="1"/>
    <row r="79" spans="1:46" ht="13.5" customHeight="1">
      <c r="A79" s="20"/>
    </row>
    <row r="80" spans="1:46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 spans="1:35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 spans="1:35" ht="13.5" customHeight="1">
      <c r="K83" s="21"/>
      <c r="AE83" s="145"/>
      <c r="AF83" s="145"/>
      <c r="AG83" s="145"/>
      <c r="AH83" s="145"/>
      <c r="AI83" s="30"/>
    </row>
    <row r="84" spans="1:35" ht="13.5" customHeight="1">
      <c r="A84" s="22"/>
    </row>
    <row r="85" spans="1:35" ht="13.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4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146"/>
      <c r="AH85" s="146"/>
      <c r="AI85" s="37"/>
    </row>
    <row r="86" spans="1:35" ht="13.5" customHeight="1">
      <c r="A86" s="147"/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8"/>
      <c r="AA86" s="148"/>
      <c r="AB86" s="148"/>
      <c r="AC86" s="148"/>
      <c r="AD86" s="148"/>
      <c r="AE86" s="8"/>
      <c r="AF86" s="8"/>
      <c r="AG86" s="8"/>
      <c r="AH86" s="8"/>
      <c r="AI86" s="8"/>
    </row>
    <row r="87" spans="1:35" ht="13.5" customHeight="1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29"/>
    </row>
    <row r="88" spans="1:35" ht="13.5" customHeight="1"/>
    <row r="89" spans="1:35" ht="13.5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38"/>
    </row>
    <row r="90" spans="1:35" ht="13.5" customHeight="1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29"/>
    </row>
    <row r="91" spans="1:35" ht="13.5" customHeight="1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29"/>
    </row>
    <row r="92" spans="1:35" ht="13.5" customHeight="1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/>
      <c r="AI92" s="29"/>
    </row>
    <row r="93" spans="1:35" ht="13.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50"/>
      <c r="T93" s="150"/>
      <c r="U93" s="150"/>
      <c r="V93" s="150"/>
      <c r="W93" s="150"/>
      <c r="X93" s="150"/>
      <c r="Y93" s="150"/>
      <c r="Z93" s="150"/>
      <c r="AA93" s="150"/>
      <c r="AB93" s="150"/>
      <c r="AC93" s="150"/>
      <c r="AD93" s="150"/>
      <c r="AE93" s="150"/>
      <c r="AF93" s="150"/>
      <c r="AG93" s="150"/>
      <c r="AH93" s="150"/>
      <c r="AI93" s="31"/>
    </row>
    <row r="94" spans="1:35" ht="13.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50"/>
      <c r="T94" s="150"/>
      <c r="U94" s="150"/>
      <c r="V94" s="150"/>
      <c r="W94" s="150"/>
      <c r="X94" s="150"/>
      <c r="Y94" s="150"/>
      <c r="Z94" s="150"/>
      <c r="AA94" s="150"/>
      <c r="AB94" s="150"/>
      <c r="AC94" s="150"/>
      <c r="AD94" s="150"/>
      <c r="AE94" s="150"/>
      <c r="AF94" s="150"/>
      <c r="AG94" s="150"/>
      <c r="AH94" s="150"/>
      <c r="AI94" s="31"/>
    </row>
    <row r="95" spans="1:35" ht="13.5" customHeight="1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25"/>
      <c r="T95" s="7"/>
      <c r="U95" s="7"/>
      <c r="V95" s="7"/>
      <c r="W95" s="7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35"/>
    </row>
    <row r="96" spans="1:35" ht="13.5" customHeight="1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49"/>
      <c r="AA96" s="149"/>
      <c r="AB96" s="149"/>
      <c r="AC96" s="149"/>
      <c r="AD96" s="149"/>
      <c r="AE96" s="149"/>
      <c r="AF96" s="149"/>
      <c r="AG96" s="149"/>
      <c r="AH96" s="149"/>
      <c r="AI96" s="35"/>
    </row>
    <row r="97" spans="1:35" ht="13.5" customHeight="1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25"/>
      <c r="T97" s="7"/>
      <c r="U97" s="7"/>
      <c r="V97" s="7"/>
      <c r="W97" s="7"/>
      <c r="X97" s="7"/>
      <c r="Y97" s="7"/>
      <c r="Z97" s="149"/>
      <c r="AA97" s="149"/>
      <c r="AB97" s="149"/>
      <c r="AC97" s="149"/>
      <c r="AD97" s="149"/>
      <c r="AE97" s="149"/>
      <c r="AF97" s="149"/>
      <c r="AG97" s="149"/>
      <c r="AH97" s="149"/>
      <c r="AI97" s="35"/>
    </row>
    <row r="98" spans="1:35" ht="13.5" customHeight="1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4"/>
      <c r="T98" s="154"/>
      <c r="U98" s="154"/>
      <c r="V98" s="154"/>
      <c r="W98" s="154"/>
      <c r="X98" s="154"/>
      <c r="Y98" s="154"/>
      <c r="Z98" s="117"/>
      <c r="AA98" s="117"/>
      <c r="AB98" s="117"/>
      <c r="AC98" s="117"/>
      <c r="AD98" s="117"/>
      <c r="AE98" s="117"/>
      <c r="AF98" s="117"/>
      <c r="AG98" s="117"/>
      <c r="AH98" s="117"/>
      <c r="AI98" s="36"/>
    </row>
    <row r="99" spans="1:35" ht="13.5" customHeight="1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26"/>
      <c r="T99" s="26"/>
      <c r="U99" s="26"/>
      <c r="V99" s="26"/>
      <c r="W99" s="26"/>
      <c r="X99" s="26"/>
      <c r="Y99" s="26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 spans="1:35" ht="13.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25"/>
      <c r="T100" s="7"/>
      <c r="U100" s="7"/>
      <c r="V100" s="7"/>
      <c r="W100" s="7"/>
      <c r="X100" s="7"/>
      <c r="AA100" s="142"/>
      <c r="AB100" s="142"/>
      <c r="AC100" s="142"/>
      <c r="AD100" s="142"/>
      <c r="AE100" s="142"/>
      <c r="AF100" s="142"/>
      <c r="AG100" s="142"/>
      <c r="AH100" s="142"/>
      <c r="AI100" s="29"/>
    </row>
    <row r="101" spans="1:35" ht="13.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29"/>
    </row>
    <row r="102" spans="1:35" ht="13.5" customHeight="1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2"/>
      <c r="L102" s="152"/>
      <c r="M102" s="152"/>
      <c r="N102" s="152"/>
      <c r="O102" s="152"/>
      <c r="P102" s="152"/>
      <c r="Q102" s="152"/>
      <c r="R102" s="152"/>
      <c r="S102" s="25"/>
      <c r="X102" s="131"/>
      <c r="Y102" s="131"/>
      <c r="Z102" s="131"/>
      <c r="AA102" s="131"/>
      <c r="AB102" s="131"/>
      <c r="AC102" s="131"/>
      <c r="AD102" s="131"/>
    </row>
    <row r="103" spans="1:35" ht="13.5" customHeight="1">
      <c r="A103" s="151"/>
      <c r="B103" s="151"/>
      <c r="C103" s="151"/>
      <c r="D103" s="151"/>
      <c r="E103" s="151"/>
      <c r="F103" s="151"/>
      <c r="G103" s="151"/>
      <c r="H103" s="151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25"/>
      <c r="X103" s="12"/>
      <c r="Y103" s="12"/>
      <c r="Z103" s="12"/>
      <c r="AA103" s="12"/>
      <c r="AB103" s="12"/>
      <c r="AC103" s="12"/>
      <c r="AD103" s="12"/>
    </row>
    <row r="104" spans="1:35" ht="13.5" customHeight="1">
      <c r="A104" s="151"/>
      <c r="B104" s="151"/>
      <c r="C104" s="151"/>
      <c r="D104" s="151"/>
      <c r="E104" s="151"/>
      <c r="F104" s="151"/>
      <c r="G104" s="151"/>
      <c r="H104" s="151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25"/>
      <c r="X104" s="131"/>
      <c r="Y104" s="131"/>
      <c r="Z104" s="131"/>
      <c r="AA104" s="131"/>
      <c r="AB104" s="131"/>
      <c r="AC104" s="131"/>
      <c r="AD104" s="131"/>
    </row>
    <row r="105" spans="1:35" ht="13.5" customHeight="1">
      <c r="A105" s="151"/>
      <c r="B105" s="151"/>
      <c r="C105" s="151"/>
      <c r="D105" s="151"/>
      <c r="E105" s="151"/>
      <c r="F105" s="151"/>
      <c r="G105" s="151"/>
      <c r="H105" s="151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25"/>
      <c r="X105" s="12"/>
      <c r="Y105" s="12"/>
      <c r="Z105" s="12"/>
      <c r="AA105" s="12"/>
      <c r="AB105" s="12"/>
      <c r="AC105" s="12"/>
      <c r="AD105" s="12"/>
    </row>
    <row r="106" spans="1:35" ht="13.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55"/>
      <c r="Y106" s="155"/>
      <c r="Z106" s="155"/>
      <c r="AA106" s="155"/>
      <c r="AB106" s="155"/>
      <c r="AC106" s="155"/>
      <c r="AD106" s="155"/>
      <c r="AE106" s="155"/>
      <c r="AF106" s="155"/>
      <c r="AG106" s="155"/>
      <c r="AH106" s="155"/>
      <c r="AI106" s="40"/>
    </row>
    <row r="107" spans="1:35" ht="13.5" customHeight="1">
      <c r="A107" s="156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25"/>
      <c r="X107" s="155"/>
      <c r="Y107" s="155"/>
      <c r="Z107" s="155"/>
      <c r="AA107" s="155"/>
      <c r="AB107" s="155"/>
      <c r="AC107" s="155"/>
      <c r="AD107" s="155"/>
      <c r="AE107" s="155"/>
      <c r="AF107" s="155"/>
      <c r="AG107" s="155"/>
      <c r="AH107" s="155"/>
      <c r="AI107" s="40"/>
    </row>
    <row r="108" spans="1:35" ht="13.5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43"/>
      <c r="T108" s="143"/>
      <c r="U108" s="143"/>
      <c r="V108" s="143"/>
      <c r="W108" s="143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33"/>
    </row>
    <row r="109" spans="1:35" ht="13.5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43"/>
      <c r="T109" s="143"/>
      <c r="U109" s="143"/>
      <c r="V109" s="143"/>
      <c r="W109" s="143"/>
      <c r="X109" s="13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 spans="1:35" ht="13.5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28"/>
    </row>
    <row r="111" spans="1:35" ht="13.5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28"/>
    </row>
    <row r="112" spans="1:35" ht="13.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25"/>
    </row>
    <row r="113" spans="1:35" ht="13.5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56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32"/>
    </row>
    <row r="114" spans="1:35" ht="13.5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32"/>
    </row>
    <row r="115" spans="1:35" ht="13.5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25"/>
      <c r="T115" s="7"/>
      <c r="AB115" s="142"/>
      <c r="AC115" s="142"/>
      <c r="AD115" s="142"/>
      <c r="AE115" s="142"/>
      <c r="AF115" s="142"/>
      <c r="AG115" s="142"/>
      <c r="AH115" s="142"/>
      <c r="AI115" s="29"/>
    </row>
    <row r="116" spans="1:35" ht="13.5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25"/>
      <c r="T116" s="7"/>
      <c r="Y116" s="163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29"/>
    </row>
    <row r="117" spans="1:35" ht="13.5" customHeight="1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31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39"/>
    </row>
    <row r="118" spans="1:35" ht="13.5" customHeight="1">
      <c r="A118" s="17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  <c r="AH118" s="153"/>
      <c r="AI118" s="34"/>
    </row>
    <row r="119" spans="1:35" ht="13.5" customHeight="1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31"/>
    </row>
    <row r="120" spans="1:35" ht="13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57"/>
      <c r="AC120" s="157"/>
      <c r="AD120" s="157"/>
      <c r="AE120" s="157"/>
      <c r="AF120" s="157"/>
      <c r="AG120" s="157"/>
      <c r="AH120" s="157"/>
      <c r="AI120" s="32"/>
    </row>
    <row r="121" spans="1:35" ht="13.5" customHeight="1">
      <c r="A121" s="160"/>
      <c r="B121" s="160"/>
      <c r="C121" s="160"/>
      <c r="D121" s="160"/>
      <c r="E121" s="160"/>
      <c r="F121" s="160"/>
      <c r="G121" s="160"/>
      <c r="H121" s="16"/>
      <c r="I121" s="15"/>
      <c r="J121" s="15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59"/>
      <c r="V121" s="159"/>
      <c r="W121" s="159"/>
      <c r="X121" s="159"/>
      <c r="Y121" s="159"/>
      <c r="Z121" s="159"/>
      <c r="AA121" s="159"/>
      <c r="AB121" s="157"/>
      <c r="AC121" s="157"/>
      <c r="AD121" s="157"/>
      <c r="AE121" s="157"/>
      <c r="AF121" s="157"/>
      <c r="AG121" s="157"/>
      <c r="AH121" s="157"/>
      <c r="AI121" s="32"/>
    </row>
    <row r="122" spans="1:35" ht="13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57"/>
      <c r="AC122" s="157"/>
      <c r="AD122" s="157"/>
      <c r="AE122" s="157"/>
      <c r="AF122" s="157"/>
      <c r="AG122" s="157"/>
      <c r="AH122" s="157"/>
      <c r="AI122" s="32"/>
    </row>
    <row r="123" spans="1:35" ht="13.5" customHeight="1">
      <c r="A123" s="160"/>
      <c r="B123" s="160"/>
      <c r="C123" s="160"/>
      <c r="D123" s="160"/>
      <c r="E123" s="160"/>
      <c r="F123" s="160"/>
      <c r="G123" s="160"/>
      <c r="H123" s="23"/>
      <c r="I123" s="17"/>
      <c r="J123" s="17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0"/>
      <c r="V123" s="160"/>
      <c r="W123" s="160"/>
      <c r="X123" s="160"/>
      <c r="Y123" s="160"/>
      <c r="Z123" s="160"/>
      <c r="AA123" s="160"/>
      <c r="AB123" s="157"/>
      <c r="AC123" s="157"/>
      <c r="AD123" s="157"/>
      <c r="AE123" s="157"/>
      <c r="AF123" s="157"/>
      <c r="AG123" s="157"/>
      <c r="AH123" s="157"/>
      <c r="AI123" s="32"/>
    </row>
    <row r="124" spans="1:35" ht="13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157"/>
      <c r="AC124" s="157"/>
      <c r="AD124" s="157"/>
      <c r="AE124" s="157"/>
      <c r="AF124" s="157"/>
      <c r="AG124" s="157"/>
      <c r="AH124" s="157"/>
      <c r="AI124" s="32"/>
    </row>
    <row r="125" spans="1:35">
      <c r="A125" s="160"/>
      <c r="B125" s="160"/>
      <c r="C125" s="160"/>
      <c r="D125" s="160"/>
      <c r="E125" s="160"/>
      <c r="F125" s="160"/>
      <c r="G125" s="160"/>
      <c r="H125" s="157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2"/>
      <c r="V125" s="160"/>
      <c r="W125" s="160"/>
      <c r="X125" s="160"/>
      <c r="Y125" s="160"/>
      <c r="Z125" s="160"/>
      <c r="AA125" s="160"/>
      <c r="AB125" s="157"/>
      <c r="AC125" s="157"/>
      <c r="AD125" s="157"/>
      <c r="AE125" s="157"/>
      <c r="AF125" s="157"/>
      <c r="AG125" s="157"/>
      <c r="AH125" s="157"/>
      <c r="AI125" s="32"/>
    </row>
    <row r="126" spans="1:35">
      <c r="A126" s="160"/>
      <c r="B126" s="160"/>
      <c r="C126" s="160"/>
      <c r="D126" s="160"/>
      <c r="E126" s="160"/>
      <c r="F126" s="160"/>
      <c r="G126" s="160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60"/>
      <c r="V126" s="160"/>
      <c r="W126" s="160"/>
      <c r="X126" s="160"/>
      <c r="Y126" s="160"/>
      <c r="Z126" s="160"/>
      <c r="AA126" s="160"/>
      <c r="AB126" s="157"/>
      <c r="AC126" s="157"/>
      <c r="AD126" s="157"/>
      <c r="AE126" s="157"/>
      <c r="AF126" s="157"/>
      <c r="AG126" s="157"/>
      <c r="AH126" s="157"/>
      <c r="AI126" s="32"/>
    </row>
    <row r="127" spans="1:35">
      <c r="A127" s="160"/>
      <c r="B127" s="160"/>
      <c r="C127" s="160"/>
      <c r="D127" s="160"/>
      <c r="E127" s="160"/>
      <c r="F127" s="160"/>
      <c r="G127" s="160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60"/>
      <c r="V127" s="160"/>
      <c r="W127" s="160"/>
      <c r="X127" s="160"/>
      <c r="Y127" s="160"/>
      <c r="Z127" s="160"/>
      <c r="AA127" s="160"/>
      <c r="AB127" s="157"/>
      <c r="AC127" s="157"/>
      <c r="AD127" s="157"/>
      <c r="AE127" s="157"/>
      <c r="AF127" s="157"/>
      <c r="AG127" s="157"/>
      <c r="AH127" s="157"/>
      <c r="AI127" s="32"/>
    </row>
    <row r="128" spans="1:35">
      <c r="A128" s="160"/>
      <c r="B128" s="160"/>
      <c r="C128" s="160"/>
      <c r="D128" s="160"/>
      <c r="E128" s="160"/>
      <c r="F128" s="160"/>
      <c r="G128" s="160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60"/>
      <c r="V128" s="160"/>
      <c r="W128" s="160"/>
      <c r="X128" s="160"/>
      <c r="Y128" s="160"/>
      <c r="Z128" s="160"/>
      <c r="AA128" s="160"/>
      <c r="AB128" s="157"/>
      <c r="AC128" s="157"/>
      <c r="AD128" s="157"/>
      <c r="AE128" s="157"/>
      <c r="AF128" s="157"/>
      <c r="AG128" s="157"/>
      <c r="AH128" s="157"/>
      <c r="AI128" s="32"/>
    </row>
    <row r="129" spans="1:35">
      <c r="A129" s="160"/>
      <c r="B129" s="160"/>
      <c r="C129" s="160"/>
      <c r="D129" s="160"/>
      <c r="E129" s="160"/>
      <c r="F129" s="160"/>
      <c r="G129" s="160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60"/>
      <c r="V129" s="160"/>
      <c r="W129" s="160"/>
      <c r="X129" s="160"/>
      <c r="Y129" s="160"/>
      <c r="Z129" s="160"/>
      <c r="AA129" s="160"/>
      <c r="AB129" s="157"/>
      <c r="AC129" s="157"/>
      <c r="AD129" s="157"/>
      <c r="AE129" s="157"/>
      <c r="AF129" s="157"/>
      <c r="AG129" s="157"/>
      <c r="AH129" s="157"/>
      <c r="AI129" s="32"/>
    </row>
    <row r="130" spans="1:35">
      <c r="A130" s="160"/>
      <c r="B130" s="160"/>
      <c r="C130" s="160"/>
      <c r="D130" s="160"/>
      <c r="E130" s="160"/>
      <c r="F130" s="160"/>
      <c r="G130" s="160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60"/>
      <c r="V130" s="160"/>
      <c r="W130" s="160"/>
      <c r="X130" s="160"/>
      <c r="Y130" s="160"/>
      <c r="Z130" s="160"/>
      <c r="AA130" s="160"/>
      <c r="AB130" s="157"/>
      <c r="AC130" s="157"/>
      <c r="AD130" s="157"/>
      <c r="AE130" s="157"/>
      <c r="AF130" s="157"/>
      <c r="AG130" s="157"/>
      <c r="AH130" s="157"/>
      <c r="AI130" s="32"/>
    </row>
    <row r="131" spans="1:35">
      <c r="A131" s="23"/>
    </row>
    <row r="132" spans="1:35">
      <c r="A132" s="23"/>
    </row>
    <row r="137" spans="1:35">
      <c r="Y137" s="131"/>
      <c r="Z137" s="131"/>
      <c r="AA137" s="131"/>
      <c r="AB137" s="131"/>
      <c r="AC137" s="131"/>
      <c r="AD137" s="131"/>
      <c r="AE137" s="131"/>
      <c r="AF137" s="131"/>
      <c r="AG137" s="131"/>
      <c r="AH137" s="131"/>
      <c r="AI137" s="28"/>
    </row>
    <row r="139" spans="1:35">
      <c r="A139" s="23"/>
      <c r="C139" s="7"/>
      <c r="D139" s="7"/>
      <c r="E139" s="7"/>
      <c r="F139" s="7"/>
      <c r="G139" s="7"/>
      <c r="H139" s="7"/>
      <c r="I139" s="7"/>
      <c r="J139" s="7"/>
    </row>
    <row r="140" spans="1:3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</row>
    <row r="141" spans="1:3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</row>
    <row r="142" spans="1:3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</row>
    <row r="143" spans="1:3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</row>
    <row r="144" spans="1:3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</row>
    <row r="145" spans="1:1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</row>
  </sheetData>
  <sheetProtection formatCells="0" formatColumns="0" formatRows="0" insertColumns="0" insertRows="0" insertHyperlinks="0" deleteColumns="0" deleteRows="0" sort="0" autoFilter="0" pivotTables="0"/>
  <mergeCells count="310">
    <mergeCell ref="X47:Z48"/>
    <mergeCell ref="AA47:AC48"/>
    <mergeCell ref="AD47:AF48"/>
    <mergeCell ref="AG47:AI48"/>
    <mergeCell ref="AJ47:AL48"/>
    <mergeCell ref="AM47:AS48"/>
    <mergeCell ref="B47:C48"/>
    <mergeCell ref="D47:E48"/>
    <mergeCell ref="F47:K48"/>
    <mergeCell ref="L47:M48"/>
    <mergeCell ref="N47:O48"/>
    <mergeCell ref="P47:Q48"/>
    <mergeCell ref="R47:S48"/>
    <mergeCell ref="T47:U48"/>
    <mergeCell ref="V47:W48"/>
    <mergeCell ref="B49:C50"/>
    <mergeCell ref="D49:E50"/>
    <mergeCell ref="F49:K50"/>
    <mergeCell ref="L49:M50"/>
    <mergeCell ref="N49:O50"/>
    <mergeCell ref="P49:Q50"/>
    <mergeCell ref="R49:S50"/>
    <mergeCell ref="T49:U50"/>
    <mergeCell ref="V49:W50"/>
    <mergeCell ref="F45:K46"/>
    <mergeCell ref="L45:M46"/>
    <mergeCell ref="N45:O46"/>
    <mergeCell ref="P45:Q46"/>
    <mergeCell ref="R45:S46"/>
    <mergeCell ref="T45:U46"/>
    <mergeCell ref="V45:W46"/>
    <mergeCell ref="E59:L59"/>
    <mergeCell ref="AI59:AP59"/>
    <mergeCell ref="X45:Z46"/>
    <mergeCell ref="AA45:AC46"/>
    <mergeCell ref="AD45:AF46"/>
    <mergeCell ref="AG45:AI46"/>
    <mergeCell ref="AJ45:AL46"/>
    <mergeCell ref="AM45:AS46"/>
    <mergeCell ref="X49:Z50"/>
    <mergeCell ref="AA49:AC50"/>
    <mergeCell ref="AD49:AF50"/>
    <mergeCell ref="AG49:AI50"/>
    <mergeCell ref="AJ49:AL50"/>
    <mergeCell ref="AM49:AS50"/>
    <mergeCell ref="B51:AS52"/>
    <mergeCell ref="B45:C46"/>
    <mergeCell ref="D45:E46"/>
    <mergeCell ref="E63:L63"/>
    <mergeCell ref="AI63:AP63"/>
    <mergeCell ref="E65:W66"/>
    <mergeCell ref="X65:AR66"/>
    <mergeCell ref="D1:AR2"/>
    <mergeCell ref="B4:F4"/>
    <mergeCell ref="G4:M5"/>
    <mergeCell ref="Q4:Y5"/>
    <mergeCell ref="Z4:AF5"/>
    <mergeCell ref="AO4:AQ4"/>
    <mergeCell ref="AR4:AS5"/>
    <mergeCell ref="B5:F5"/>
    <mergeCell ref="AO5:AQ5"/>
    <mergeCell ref="B7:AS8"/>
    <mergeCell ref="B9:K10"/>
    <mergeCell ref="L9:O10"/>
    <mergeCell ref="P9:Y10"/>
    <mergeCell ref="Z9:AH10"/>
    <mergeCell ref="B12:O13"/>
    <mergeCell ref="P12:AS13"/>
    <mergeCell ref="B14:D15"/>
    <mergeCell ref="AF17:AI17"/>
    <mergeCell ref="AL14:AP15"/>
    <mergeCell ref="AQ14:AS15"/>
    <mergeCell ref="A87:AH87"/>
    <mergeCell ref="A89:R89"/>
    <mergeCell ref="S89:AH89"/>
    <mergeCell ref="A90:R90"/>
    <mergeCell ref="S90:AH90"/>
    <mergeCell ref="A91:R91"/>
    <mergeCell ref="S91:V91"/>
    <mergeCell ref="W91:AH91"/>
    <mergeCell ref="B68:AS69"/>
    <mergeCell ref="B70:AS70"/>
    <mergeCell ref="B71:AS74"/>
    <mergeCell ref="AE83:AH83"/>
    <mergeCell ref="AG85:AH85"/>
    <mergeCell ref="A86:Y86"/>
    <mergeCell ref="Z86:AD86"/>
    <mergeCell ref="A95:R95"/>
    <mergeCell ref="X95:AH95"/>
    <mergeCell ref="A96:R96"/>
    <mergeCell ref="S96:Y96"/>
    <mergeCell ref="Z96:AH96"/>
    <mergeCell ref="A97:R97"/>
    <mergeCell ref="Z97:AH97"/>
    <mergeCell ref="A92:R92"/>
    <mergeCell ref="S92:V92"/>
    <mergeCell ref="W92:AH92"/>
    <mergeCell ref="A93:R93"/>
    <mergeCell ref="S93:AH93"/>
    <mergeCell ref="A94:R94"/>
    <mergeCell ref="S94:AH94"/>
    <mergeCell ref="A101:H101"/>
    <mergeCell ref="I101:R101"/>
    <mergeCell ref="S101:AH101"/>
    <mergeCell ref="A102:H105"/>
    <mergeCell ref="I102:R105"/>
    <mergeCell ref="X102:AD102"/>
    <mergeCell ref="X104:AD104"/>
    <mergeCell ref="A98:R98"/>
    <mergeCell ref="S98:Y98"/>
    <mergeCell ref="Z98:AH98"/>
    <mergeCell ref="A99:R99"/>
    <mergeCell ref="A100:H100"/>
    <mergeCell ref="I100:R100"/>
    <mergeCell ref="AA100:AH100"/>
    <mergeCell ref="A112:R112"/>
    <mergeCell ref="A113:R116"/>
    <mergeCell ref="S113:AH114"/>
    <mergeCell ref="AB115:AH115"/>
    <mergeCell ref="Y116:AH116"/>
    <mergeCell ref="A117:M117"/>
    <mergeCell ref="O117:AH117"/>
    <mergeCell ref="A106:R106"/>
    <mergeCell ref="S106:W106"/>
    <mergeCell ref="X106:AH107"/>
    <mergeCell ref="A107:R111"/>
    <mergeCell ref="S108:W108"/>
    <mergeCell ref="X108:AH108"/>
    <mergeCell ref="S109:W109"/>
    <mergeCell ref="X110:AH110"/>
    <mergeCell ref="X111:AH111"/>
    <mergeCell ref="A118:AH118"/>
    <mergeCell ref="A119:AH119"/>
    <mergeCell ref="AB120:AH124"/>
    <mergeCell ref="A121:G121"/>
    <mergeCell ref="K121:T121"/>
    <mergeCell ref="U121:AA121"/>
    <mergeCell ref="A123:G123"/>
    <mergeCell ref="K123:T123"/>
    <mergeCell ref="U123:AA123"/>
    <mergeCell ref="Y137:AH137"/>
    <mergeCell ref="U128:AA128"/>
    <mergeCell ref="A129:G129"/>
    <mergeCell ref="H129:T130"/>
    <mergeCell ref="U129:AA129"/>
    <mergeCell ref="AB129:AH130"/>
    <mergeCell ref="A130:G130"/>
    <mergeCell ref="U130:AA130"/>
    <mergeCell ref="A125:G125"/>
    <mergeCell ref="H125:T126"/>
    <mergeCell ref="U125:AA126"/>
    <mergeCell ref="AB125:AH126"/>
    <mergeCell ref="A126:G126"/>
    <mergeCell ref="A127:G127"/>
    <mergeCell ref="H127:T128"/>
    <mergeCell ref="U127:AA127"/>
    <mergeCell ref="AB127:AH128"/>
    <mergeCell ref="A128:G128"/>
    <mergeCell ref="B16:D16"/>
    <mergeCell ref="E16:H16"/>
    <mergeCell ref="I16:K16"/>
    <mergeCell ref="L16:O16"/>
    <mergeCell ref="P16:T16"/>
    <mergeCell ref="U16:X16"/>
    <mergeCell ref="Y16:AA16"/>
    <mergeCell ref="AB16:AE16"/>
    <mergeCell ref="AF16:AI16"/>
    <mergeCell ref="AJ16:AK16"/>
    <mergeCell ref="AL16:AP16"/>
    <mergeCell ref="AQ16:AS16"/>
    <mergeCell ref="E14:H15"/>
    <mergeCell ref="I14:K15"/>
    <mergeCell ref="L14:O15"/>
    <mergeCell ref="P14:T15"/>
    <mergeCell ref="U14:X15"/>
    <mergeCell ref="Y14:AA15"/>
    <mergeCell ref="AB14:AE15"/>
    <mergeCell ref="AF14:AI15"/>
    <mergeCell ref="AJ14:AK15"/>
    <mergeCell ref="AF19:AI19"/>
    <mergeCell ref="AJ17:AK17"/>
    <mergeCell ref="AL17:AP17"/>
    <mergeCell ref="AQ17:AS17"/>
    <mergeCell ref="B18:D18"/>
    <mergeCell ref="E18:H18"/>
    <mergeCell ref="I18:K18"/>
    <mergeCell ref="L18:O18"/>
    <mergeCell ref="P18:T18"/>
    <mergeCell ref="U18:X18"/>
    <mergeCell ref="Y18:AA18"/>
    <mergeCell ref="AB18:AE18"/>
    <mergeCell ref="AF18:AI18"/>
    <mergeCell ref="AJ18:AK18"/>
    <mergeCell ref="AL18:AP18"/>
    <mergeCell ref="AQ18:AS18"/>
    <mergeCell ref="B17:D17"/>
    <mergeCell ref="E17:H17"/>
    <mergeCell ref="I17:K17"/>
    <mergeCell ref="L17:O17"/>
    <mergeCell ref="P17:T17"/>
    <mergeCell ref="U17:X17"/>
    <mergeCell ref="Y17:AA17"/>
    <mergeCell ref="AB17:AE17"/>
    <mergeCell ref="T28:U34"/>
    <mergeCell ref="V28:W34"/>
    <mergeCell ref="X28:Z34"/>
    <mergeCell ref="AA28:AC34"/>
    <mergeCell ref="N30:O34"/>
    <mergeCell ref="P30:Q34"/>
    <mergeCell ref="B19:D19"/>
    <mergeCell ref="E19:H19"/>
    <mergeCell ref="I19:K19"/>
    <mergeCell ref="L19:O19"/>
    <mergeCell ref="P19:T19"/>
    <mergeCell ref="U19:X19"/>
    <mergeCell ref="Y19:AA19"/>
    <mergeCell ref="AB19:AE19"/>
    <mergeCell ref="L35:M36"/>
    <mergeCell ref="N35:O36"/>
    <mergeCell ref="P35:Q36"/>
    <mergeCell ref="R35:S36"/>
    <mergeCell ref="T35:U36"/>
    <mergeCell ref="V35:W36"/>
    <mergeCell ref="AJ19:AK19"/>
    <mergeCell ref="AL19:AP19"/>
    <mergeCell ref="AQ19:AS19"/>
    <mergeCell ref="B21:AS22"/>
    <mergeCell ref="B24:K25"/>
    <mergeCell ref="L24:AS25"/>
    <mergeCell ref="B26:C34"/>
    <mergeCell ref="D26:E34"/>
    <mergeCell ref="F26:K34"/>
    <mergeCell ref="L26:M34"/>
    <mergeCell ref="N26:W27"/>
    <mergeCell ref="X26:AC27"/>
    <mergeCell ref="AD26:AF34"/>
    <mergeCell ref="AG26:AI34"/>
    <mergeCell ref="AJ26:AL34"/>
    <mergeCell ref="AM26:AS34"/>
    <mergeCell ref="N28:Q29"/>
    <mergeCell ref="R28:S34"/>
    <mergeCell ref="X35:Z36"/>
    <mergeCell ref="AA35:AC36"/>
    <mergeCell ref="AD35:AF36"/>
    <mergeCell ref="AG35:AI36"/>
    <mergeCell ref="AJ35:AL36"/>
    <mergeCell ref="AM35:AS36"/>
    <mergeCell ref="B37:C38"/>
    <mergeCell ref="D37:E38"/>
    <mergeCell ref="F37:K38"/>
    <mergeCell ref="L37:M38"/>
    <mergeCell ref="N37:O38"/>
    <mergeCell ref="P37:Q38"/>
    <mergeCell ref="R37:S38"/>
    <mergeCell ref="T37:U38"/>
    <mergeCell ref="V37:W38"/>
    <mergeCell ref="X37:Z38"/>
    <mergeCell ref="AA37:AC38"/>
    <mergeCell ref="AD37:AF38"/>
    <mergeCell ref="AG37:AI38"/>
    <mergeCell ref="AJ37:AL38"/>
    <mergeCell ref="AM37:AS38"/>
    <mergeCell ref="B35:C36"/>
    <mergeCell ref="D35:E36"/>
    <mergeCell ref="F35:K36"/>
    <mergeCell ref="AG39:AI40"/>
    <mergeCell ref="AJ39:AL40"/>
    <mergeCell ref="AM39:AS40"/>
    <mergeCell ref="B41:C42"/>
    <mergeCell ref="D41:E42"/>
    <mergeCell ref="F41:K42"/>
    <mergeCell ref="L41:M42"/>
    <mergeCell ref="N41:O42"/>
    <mergeCell ref="P41:Q42"/>
    <mergeCell ref="R41:S42"/>
    <mergeCell ref="T41:U42"/>
    <mergeCell ref="V41:W42"/>
    <mergeCell ref="X41:Z42"/>
    <mergeCell ref="AA41:AC42"/>
    <mergeCell ref="AD41:AF42"/>
    <mergeCell ref="AG41:AI42"/>
    <mergeCell ref="AJ41:AL42"/>
    <mergeCell ref="AM41:AS42"/>
    <mergeCell ref="B39:C40"/>
    <mergeCell ref="D39:E40"/>
    <mergeCell ref="F39:K40"/>
    <mergeCell ref="L39:M40"/>
    <mergeCell ref="N39:O40"/>
    <mergeCell ref="X39:Z40"/>
    <mergeCell ref="AA39:AC40"/>
    <mergeCell ref="P39:Q40"/>
    <mergeCell ref="R39:S40"/>
    <mergeCell ref="T39:U40"/>
    <mergeCell ref="V39:W40"/>
    <mergeCell ref="X43:Z44"/>
    <mergeCell ref="AA43:AC44"/>
    <mergeCell ref="AD39:AF40"/>
    <mergeCell ref="AD43:AF44"/>
    <mergeCell ref="AG43:AI44"/>
    <mergeCell ref="AJ43:AL44"/>
    <mergeCell ref="AM43:AS44"/>
    <mergeCell ref="B43:C44"/>
    <mergeCell ref="D43:E44"/>
    <mergeCell ref="F43:K44"/>
    <mergeCell ref="L43:M44"/>
    <mergeCell ref="N43:O44"/>
    <mergeCell ref="P43:Q44"/>
    <mergeCell ref="R43:S44"/>
    <mergeCell ref="T43:U44"/>
    <mergeCell ref="V43:W44"/>
  </mergeCells>
  <phoneticPr fontId="27" type="noConversion"/>
  <pageMargins left="0.31496062992125984" right="3.937007874015748E-2" top="0.39370078740157483" bottom="0.39370078740157483" header="0" footer="0"/>
  <pageSetup paperSize="9" scale="72" orientation="portrait" r:id="rId1"/>
  <headerFooter alignWithMargins="0">
    <oddHeader>&amp;L                                  &amp;C                                                                                   &amp;R&amp;"Calibri"&amp;14&amp;K71BF44 RESTRICTED&amp;1#_x000D_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10</xdr:col>
                    <xdr:colOff>177800</xdr:colOff>
                    <xdr:row>64</xdr:row>
                    <xdr:rowOff>12700</xdr:rowOff>
                  </from>
                  <to>
                    <xdr:col>12</xdr:col>
                    <xdr:colOff>152400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30</xdr:col>
                    <xdr:colOff>127000</xdr:colOff>
                    <xdr:row>63</xdr:row>
                    <xdr:rowOff>177800</xdr:rowOff>
                  </from>
                  <to>
                    <xdr:col>33</xdr:col>
                    <xdr:colOff>63500</xdr:colOff>
                    <xdr:row>66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509EA97197F742813E3FCA134A07B1" ma:contentTypeVersion="18" ma:contentTypeDescription="Create a new document." ma:contentTypeScope="" ma:versionID="7b09204f691fb63e24ec8ccb68478b9d">
  <xsd:schema xmlns:xsd="http://www.w3.org/2001/XMLSchema" xmlns:xs="http://www.w3.org/2001/XMLSchema" xmlns:p="http://schemas.microsoft.com/office/2006/metadata/properties" xmlns:ns2="44e54e8e-0bcd-40e2-8509-b78e909096d6" xmlns:ns3="793aaf68-c752-4c7d-a5c0-fc8c753af002" xmlns:ns4="e56652a7-f0cd-4c39-9267-b343502194c5" targetNamespace="http://schemas.microsoft.com/office/2006/metadata/properties" ma:root="true" ma:fieldsID="c9735d7a4d85ecca21c971b4ee89bee1" ns2:_="" ns3:_="" ns4:_="">
    <xsd:import namespace="44e54e8e-0bcd-40e2-8509-b78e909096d6"/>
    <xsd:import namespace="793aaf68-c752-4c7d-a5c0-fc8c753af002"/>
    <xsd:import namespace="e56652a7-f0cd-4c39-9267-b343502194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54e8e-0bcd-40e2-8509-b78e909096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94e9c50c-adad-47e0-bda4-8b73f4f422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aaf68-c752-4c7d-a5c0-fc8c753af00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6652a7-f0cd-4c39-9267-b343502194c5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78c204e2-3f6e-4272-9c3b-5741491f40d9}" ma:internalName="TaxCatchAll" ma:showField="CatchAllData" ma:web="793aaf68-c752-4c7d-a5c0-fc8c753af0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6652a7-f0cd-4c39-9267-b343502194c5" xsi:nil="true"/>
    <lcf76f155ced4ddcb4097134ff3c332f xmlns="44e54e8e-0bcd-40e2-8509-b78e909096d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A5A1A5-0233-4E8C-BF16-C1129FFD99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e54e8e-0bcd-40e2-8509-b78e909096d6"/>
    <ds:schemaRef ds:uri="793aaf68-c752-4c7d-a5c0-fc8c753af002"/>
    <ds:schemaRef ds:uri="e56652a7-f0cd-4c39-9267-b34350219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F988FE-63F4-4678-BAE9-011A89DB9BA7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e56652a7-f0cd-4c39-9267-b343502194c5"/>
    <ds:schemaRef ds:uri="http://schemas.microsoft.com/office/infopath/2007/PartnerControls"/>
    <ds:schemaRef ds:uri="793aaf68-c752-4c7d-a5c0-fc8c753af002"/>
    <ds:schemaRef ds:uri="http://purl.org/dc/dcmitype/"/>
    <ds:schemaRef ds:uri="http://purl.org/dc/elements/1.1/"/>
    <ds:schemaRef ds:uri="44e54e8e-0bcd-40e2-8509-b78e909096d6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7C62F73-934F-4823-BC6A-C80C739529D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2</vt:i4>
      </vt:variant>
    </vt:vector>
  </HeadingPairs>
  <TitlesOfParts>
    <vt:vector size="5" baseType="lpstr">
      <vt:lpstr>DANE</vt:lpstr>
      <vt:lpstr>str1</vt:lpstr>
      <vt:lpstr>str2</vt:lpstr>
      <vt:lpstr>'str1'!Obszar_wydruku</vt:lpstr>
      <vt:lpstr>'str2'!Obszar_wydruku</vt:lpstr>
    </vt:vector>
  </TitlesOfParts>
  <Manager/>
  <Company>BT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BT</dc:creator>
  <cp:keywords/>
  <dc:description/>
  <cp:lastModifiedBy>Olgierd Moryc</cp:lastModifiedBy>
  <cp:revision/>
  <cp:lastPrinted>2026-05-06T10:35:47Z</cp:lastPrinted>
  <dcterms:created xsi:type="dcterms:W3CDTF">2009-03-30T11:29:21Z</dcterms:created>
  <dcterms:modified xsi:type="dcterms:W3CDTF">2026-06-16T12:34:14Z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0x0101001B509EA97197F742813E3FCA134A07B1</vt:lpwstr>
  </property>
  <property fmtid="{D5CDD505-2E9C-101B-9397-08002B2CF9AE}" pid="3" name="MediaServiceImageTags">
    <vt:lpwstr/>
  </property>
</Properties>
</file>